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90D85AA8-4648-40B7-B5B9-35FCDB726C96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4" i="1" l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O23" i="1"/>
  <c r="N23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5" i="1"/>
  <c r="Q13" i="1" a="1"/>
  <c r="Q13" i="1" s="1"/>
  <c r="P13" i="1"/>
  <c r="Q12" i="1" a="1"/>
  <c r="Q12" i="1" s="1"/>
  <c r="P12" i="1"/>
  <c r="Q11" i="1" a="1"/>
  <c r="Q11" i="1" s="1"/>
  <c r="P11" i="1"/>
  <c r="Q10" i="1" a="1"/>
  <c r="Q10" i="1" s="1"/>
  <c r="P10" i="1"/>
  <c r="Q9" i="1" a="1"/>
  <c r="Q9" i="1" s="1"/>
  <c r="P9" i="1"/>
  <c r="R9" i="1" s="1"/>
  <c r="Q8" i="1" a="1"/>
  <c r="Q8" i="1" s="1"/>
  <c r="P8" i="1"/>
  <c r="R8" i="1" s="1"/>
  <c r="Q7" i="1" a="1"/>
  <c r="Q7" i="1" s="1"/>
  <c r="P7" i="1"/>
  <c r="Q6" i="1" a="1"/>
  <c r="Q6" i="1" s="1"/>
  <c r="P6" i="1"/>
  <c r="Q5" i="1" a="1"/>
  <c r="Q5" i="1" s="1"/>
  <c r="P5" i="1"/>
  <c r="Q4" i="1" a="1"/>
  <c r="Q4" i="1" s="1"/>
  <c r="R4" i="1" s="1"/>
  <c r="P4" i="1"/>
  <c r="R7" i="1" l="1"/>
  <c r="R12" i="1"/>
  <c r="R10" i="1"/>
  <c r="R6" i="1"/>
  <c r="R11" i="1"/>
  <c r="R5" i="1"/>
  <c r="R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<sst xmlns="http://schemas.openxmlformats.org/spreadsheetml/2006/main" count="346" uniqueCount="225">
  <si>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</si>
  <si>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</si>
  <si>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</si>
  <si>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</si>
  <si>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</si>
  <si>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</si>
  <si>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</si>
  <si>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</si>
  <si>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</si>
  <si>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</si>
  <si>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</si>
  <si>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</si>
  <si>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</si>
  <si>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</si>
  <si>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</si>
  <si>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</si>
  <si>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</si>
  <si>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</si>
  <si>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</si>
  <si>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</si>
  <si>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</si>
  <si>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</si>
  <si>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</si>
  <si>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</si>
  <si>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</si>
  <si>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</si>
  <si>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</si>
  <si>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</si>
  <si>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</si>
  <si>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</si>
  <si>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</si>
  <si>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</si>
  <si>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</si>
  <si>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</si>
  <si>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</si>
  <si>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</si>
  <si>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</si>
  <si>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</si>
  <si>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</si>
  <si>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</si>
  <si>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</si>
  <si>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</si>
  <si>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</si>
  <si>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</si>
  <si>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</si>
  <si>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</si>
  <si>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</si>
  <si>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</si>
  <si>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</si>
  <si>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</si>
  <si>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</si>
  <si>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</si>
  <si>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</si>
  <si>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</si>
  <si>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</si>
  <si>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</si>
  <si>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</si>
  <si>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</si>
  <si>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</si>
  <si>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</si>
  <si>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</si>
  <si>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</si>
  <si>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</si>
  <si>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</si>
  <si>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</si>
  <si>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</si>
  <si>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</si>
  <si>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</si>
  <si>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</si>
  <si>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</si>
  <si>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</si>
  <si>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</si>
  <si>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</si>
  <si>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</si>
  <si>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</si>
  <si>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</si>
  <si>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</si>
  <si>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</si>
  <si>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</si>
  <si>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</si>
  <si>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</si>
  <si>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</si>
  <si>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</si>
  <si>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</si>
  <si>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</si>
  <si>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</si>
  <si>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</si>
  <si>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</si>
  <si>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</si>
  <si>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</si>
  <si>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</si>
  <si>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</si>
  <si>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</si>
  <si>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</si>
  <si>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</si>
  <si>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</si>
  <si>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</si>
  <si>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</si>
  <si>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</si>
  <si>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</si>
  <si>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</si>
  <si>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</si>
  <si>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</si>
  <si>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</si>
  <si>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</si>
  <si>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</si>
  <si>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</si>
  <si>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</si>
  <si>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</si>
  <si>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</si>
  <si>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ACME Drilling Ltd.</t>
  </si>
  <si>
    <t>EPSG:25831 (ETRS89 / UTM 31N)</t>
  </si>
  <si>
    <t>LAT</t>
  </si>
  <si>
    <t>Cluster / asset name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</si>
  <si>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</si>
  <si>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</si>
  <si>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</si>
  <si>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</si>
  <si>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</si>
  <si>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</si>
  <si>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</si>
  <si>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</si>
  <si>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</si>
  <si>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</si>
  <si>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</si>
  <si>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</si>
  <si>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</si>
  <si>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</si>
  <si>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</si>
  <si>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</si>
  <si>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</si>
  <si>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</si>
  <si>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</si>
  <si>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</si>
  <si>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</si>
  <si>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</si>
  <si>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</si>
  <si>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</si>
  <si>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</si>
  <si>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</si>
  <si>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</si>
  <si>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</si>
  <si>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</si>
  <si>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</si>
  <si>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</si>
  <si>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</si>
  <si>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</si>
  <si>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</si>
  <si>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</si>
  <si>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</si>
  <si>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</si>
  <si>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As-installed
northing [m]</t>
  </si>
  <si>
    <t>As-installed
easting [m]</t>
  </si>
  <si>
    <t>Scheduled</t>
  </si>
  <si>
    <t>Completed</t>
  </si>
  <si>
    <t>Precentage</t>
  </si>
  <si>
    <t>Water depth [m relative to vertical datum]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</si>
  <si>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</si>
  <si>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</si>
  <si>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</si>
  <si>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</si>
  <si>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</si>
  <si>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</si>
  <si>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</si>
  <si>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</si>
  <si>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</si>
  <si>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</si>
  <si>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</si>
  <si>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</si>
  <si>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</si>
  <si>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</si>
  <si>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Detailed Design Geotechnical Site Investigation for OWF01</t>
  </si>
  <si>
    <t>L002</t>
  </si>
  <si>
    <t>WTG_001</t>
  </si>
  <si>
    <t>CPT-001</t>
  </si>
  <si>
    <t>WTG_002</t>
  </si>
  <si>
    <t>CPT-002</t>
  </si>
  <si>
    <t>WTG_003</t>
  </si>
  <si>
    <t>CPT-003</t>
  </si>
  <si>
    <t>WTG_004</t>
  </si>
  <si>
    <t>CPT-004</t>
  </si>
  <si>
    <t>WTG_005</t>
  </si>
  <si>
    <t>CPT-005</t>
  </si>
  <si>
    <t>WTG_006</t>
  </si>
  <si>
    <t>CPT-006</t>
  </si>
  <si>
    <t>WTG_007</t>
  </si>
  <si>
    <t>CPT-007</t>
  </si>
  <si>
    <t>WTG_008</t>
  </si>
  <si>
    <t>CPT-008</t>
  </si>
  <si>
    <t>WTG_009</t>
  </si>
  <si>
    <t>BH-009</t>
  </si>
  <si>
    <t>WTG_009-A</t>
  </si>
  <si>
    <t>CPT-009-A</t>
  </si>
  <si>
    <t>WTG_009-B</t>
  </si>
  <si>
    <t>CPT-009-B</t>
  </si>
  <si>
    <t>WTG_009-C</t>
  </si>
  <si>
    <t>CPT-009-C</t>
  </si>
  <si>
    <t>WTG_010</t>
  </si>
  <si>
    <t>BH-010</t>
  </si>
  <si>
    <t>WTG_010-A</t>
  </si>
  <si>
    <t>CPT-010-A</t>
  </si>
  <si>
    <t>WTG_010-B</t>
  </si>
  <si>
    <t>CPT-010-B</t>
  </si>
  <si>
    <t>WTG_010-C</t>
  </si>
  <si>
    <t>CPT-010-C</t>
  </si>
  <si>
    <t>OSS_01</t>
  </si>
  <si>
    <t>EH-01</t>
  </si>
  <si>
    <t>SCPT-01</t>
  </si>
  <si>
    <t>SDCPT-01</t>
  </si>
  <si>
    <t>OSS_01-1</t>
  </si>
  <si>
    <t>CPT-01-1</t>
  </si>
  <si>
    <t>DCPT-01-1</t>
  </si>
  <si>
    <t>OSS_01-2</t>
  </si>
  <si>
    <t>CPT-01-2</t>
  </si>
  <si>
    <t>DCPT-01-2</t>
  </si>
  <si>
    <t>OSS_01-3</t>
  </si>
  <si>
    <t>CPT-01-3</t>
  </si>
  <si>
    <t>DCPT-01-3</t>
  </si>
  <si>
    <t>OSS_01-4</t>
  </si>
  <si>
    <t>CPT-01-4</t>
  </si>
  <si>
    <t>DCPT-01-4</t>
  </si>
  <si>
    <t>Notes</t>
  </si>
  <si>
    <t>Bumpover positions not included in scheduled count</t>
  </si>
  <si>
    <t>Only meterage from holes with status: COMPLETED or ACCEPTED is counted</t>
  </si>
  <si>
    <t>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</si>
</sst>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showGridLines="0" tabSelected="1" view="pageLayout" topLeftCell="A8" zoomScale="160" zoomScaleNormal="175" zoomScaleSheetLayoutView="115" zoomScalePageLayoutView="160" workbookViewId="0">
      <selection activeCell="G23" sqref="G23:G49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6.1406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16384" width="4.140625" style="18"/>
  </cols>
  <sheetData>
    <row r="1" spans="1:29" ht="25.5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9" s="8" customFormat="1" ht="11.25" x14ac:dyDescent="0.2">
      <c r="A2" s="31" t="s">
        <v>83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9" s="8" customFormat="1" ht="11.25" x14ac:dyDescent="0.2">
      <c r="M3" s="9" t="s">
        <v>34</v>
      </c>
      <c r="P3" s="9" t="s">
        <v>153</v>
      </c>
      <c r="Q3" s="9" t="s">
        <v>154</v>
      </c>
      <c r="R3" s="9" t="s">
        <v>155</v>
      </c>
      <c r="S3" s="9" t="s">
        <v>221</v>
      </c>
    </row>
    <row r="4" spans="1:29" s="8" customFormat="1" ht="11.25" x14ac:dyDescent="0.2">
      <c r="A4" s="32" t="s">
        <v>87</v>
      </c>
      <c r="B4" s="32"/>
      <c r="C4" s="32"/>
      <c r="D4" s="33" t="s">
        <v>108</v>
      </c>
      <c r="E4" s="33"/>
      <c r="F4" s="33"/>
      <c r="G4" s="33"/>
      <c r="H4" s="34" t="s">
        <v>88</v>
      </c>
      <c r="I4" s="34"/>
      <c r="J4" s="34"/>
      <c r="K4" s="34"/>
      <c r="M4" s="12" t="s">
        <v>35</v>
      </c>
      <c r="N4" s="15"/>
      <c r="O4" s="16"/>
      <c r="P4" s="11">
        <f>COUNTIFS(C23:C1000,"&lt;&gt;",R23:R1000,"",S23:S1000,"")</f>
        <v>27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27</v>
      </c>
      <c r="R4" s="17">
        <f>IF(P4=0,NA(),Q4/P4)</f>
        <v>1</v>
      </c>
      <c r="S4" s="30" t="s">
        <v>222</v>
      </c>
    </row>
    <row r="5" spans="1:29" s="8" customFormat="1" ht="11.25" x14ac:dyDescent="0.2">
      <c r="A5" s="32" t="s">
        <v>86</v>
      </c>
      <c r="B5" s="32"/>
      <c r="C5" s="32"/>
      <c r="D5" s="33" t="s">
        <v>109</v>
      </c>
      <c r="E5" s="33"/>
      <c r="F5" s="33"/>
      <c r="G5" s="33"/>
      <c r="H5" s="28" t="s">
        <v>89</v>
      </c>
      <c r="I5" s="28"/>
      <c r="J5" s="28"/>
      <c r="K5" s="28"/>
      <c r="M5" s="12" t="s">
        <v>39</v>
      </c>
      <c r="N5" s="15"/>
      <c r="O5" s="16"/>
      <c r="P5" s="13">
        <f>SUMIFS(H23:H1000,R23:R1000,"",S23:S1000,"")</f>
        <v>1170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1172.7</v>
      </c>
      <c r="R5" s="17">
        <f t="shared" ref="R5:R13" si="0">IF(P5=0,NA(),Q5/P5)</f>
        <v>1.0023076923076923</v>
      </c>
      <c r="S5" s="30" t="s">
        <v>223</v>
      </c>
    </row>
    <row r="6" spans="1:29" s="8" customFormat="1" ht="11.25" x14ac:dyDescent="0.2">
      <c r="A6" s="32" t="s">
        <v>1</v>
      </c>
      <c r="B6" s="32"/>
      <c r="C6" s="32"/>
      <c r="D6" s="33" t="s">
        <v>171</v>
      </c>
      <c r="E6" s="33"/>
      <c r="F6" s="33"/>
      <c r="G6" s="33"/>
      <c r="H6" s="34" t="s">
        <v>2</v>
      </c>
      <c r="I6" s="34"/>
      <c r="J6" s="34"/>
      <c r="K6" s="34"/>
      <c r="M6" s="12" t="s">
        <v>84</v>
      </c>
      <c r="N6" s="15"/>
      <c r="O6" s="16"/>
      <c r="P6" s="11">
        <f>COUNTIFS(D23:D1000,"EH",R23:R1000,"",S23:S1000,"")</f>
        <v>1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1</v>
      </c>
      <c r="R6" s="17">
        <f t="shared" si="0"/>
        <v>1</v>
      </c>
    </row>
    <row r="7" spans="1:29" s="8" customFormat="1" ht="11.25" x14ac:dyDescent="0.2">
      <c r="A7" s="32" t="s">
        <v>3</v>
      </c>
      <c r="B7" s="32"/>
      <c r="C7" s="32"/>
      <c r="D7" s="33" t="s">
        <v>65</v>
      </c>
      <c r="E7" s="33"/>
      <c r="F7" s="33"/>
      <c r="G7" s="33"/>
      <c r="H7" s="34" t="s">
        <v>5</v>
      </c>
      <c r="I7" s="34"/>
      <c r="J7" s="34"/>
      <c r="K7" s="34"/>
      <c r="M7" s="12" t="s">
        <v>36</v>
      </c>
      <c r="N7" s="15"/>
      <c r="O7" s="16"/>
      <c r="P7" s="11">
        <f>COUNTIFS(D23:D1000,"BH",R23:R1000,"",S23:S1000,"")</f>
        <v>2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2</v>
      </c>
      <c r="R7" s="17">
        <f t="shared" si="0"/>
        <v>1</v>
      </c>
    </row>
    <row r="8" spans="1:29" s="8" customFormat="1" ht="11.25" x14ac:dyDescent="0.2">
      <c r="A8" s="32" t="s">
        <v>6</v>
      </c>
      <c r="B8" s="32"/>
      <c r="C8" s="32"/>
      <c r="D8" s="33" t="s">
        <v>110</v>
      </c>
      <c r="E8" s="33"/>
      <c r="F8" s="33"/>
      <c r="G8" s="33"/>
      <c r="H8" s="34" t="s">
        <v>7</v>
      </c>
      <c r="I8" s="34"/>
      <c r="J8" s="34"/>
      <c r="K8" s="34"/>
      <c r="M8" s="12" t="s">
        <v>85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9" s="8" customFormat="1" ht="11.25" x14ac:dyDescent="0.2">
      <c r="A9" s="32" t="s">
        <v>8</v>
      </c>
      <c r="B9" s="32"/>
      <c r="C9" s="32"/>
      <c r="D9" s="33" t="s">
        <v>172</v>
      </c>
      <c r="E9" s="33"/>
      <c r="F9" s="33"/>
      <c r="G9" s="33"/>
      <c r="H9" s="34" t="s">
        <v>81</v>
      </c>
      <c r="I9" s="34"/>
      <c r="J9" s="34"/>
      <c r="K9" s="34"/>
      <c r="M9" s="12" t="s">
        <v>91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9" s="8" customFormat="1" ht="11.25" x14ac:dyDescent="0.2">
      <c r="A10" s="32" t="s">
        <v>9</v>
      </c>
      <c r="B10" s="32"/>
      <c r="C10" s="32"/>
      <c r="D10" s="33" t="s">
        <v>111</v>
      </c>
      <c r="E10" s="33"/>
      <c r="F10" s="33"/>
      <c r="G10" s="33"/>
      <c r="H10" s="34" t="s">
        <v>106</v>
      </c>
      <c r="I10" s="34"/>
      <c r="J10" s="34"/>
      <c r="K10" s="34"/>
      <c r="M10" s="12" t="s">
        <v>38</v>
      </c>
      <c r="N10" s="15"/>
      <c r="O10" s="16"/>
      <c r="P10" s="11">
        <f>COUNTIFS(D23:D1000,"CPT",R23:R1000,"",S23:S1000,"")</f>
        <v>18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18</v>
      </c>
      <c r="R10" s="17">
        <f t="shared" si="0"/>
        <v>1</v>
      </c>
    </row>
    <row r="11" spans="1:29" s="8" customFormat="1" ht="11.25" x14ac:dyDescent="0.2">
      <c r="A11" s="32" t="s">
        <v>10</v>
      </c>
      <c r="B11" s="32"/>
      <c r="C11" s="32"/>
      <c r="D11" s="33" t="s">
        <v>112</v>
      </c>
      <c r="E11" s="33"/>
      <c r="F11" s="33"/>
      <c r="G11" s="33"/>
      <c r="H11" s="34" t="s">
        <v>90</v>
      </c>
      <c r="I11" s="34"/>
      <c r="J11" s="34"/>
      <c r="K11" s="34"/>
      <c r="M11" s="12" t="s">
        <v>37</v>
      </c>
      <c r="N11" s="15"/>
      <c r="O11" s="16"/>
      <c r="P11" s="11">
        <f>COUNTIFS(D23:D1000,"DCPT",R23:R1000,"",S23:S1000,"")</f>
        <v>4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4</v>
      </c>
      <c r="R11" s="17">
        <f t="shared" si="0"/>
        <v>1</v>
      </c>
    </row>
    <row r="12" spans="1:29" s="8" customFormat="1" ht="11.25" x14ac:dyDescent="0.2">
      <c r="A12" s="32" t="s">
        <v>11</v>
      </c>
      <c r="B12" s="32"/>
      <c r="C12" s="32"/>
      <c r="D12" s="33" t="s">
        <v>12</v>
      </c>
      <c r="E12" s="33"/>
      <c r="F12" s="33"/>
      <c r="G12" s="33"/>
      <c r="H12" s="34" t="s">
        <v>13</v>
      </c>
      <c r="I12" s="34"/>
      <c r="J12" s="34"/>
      <c r="K12" s="34"/>
      <c r="M12" s="12" t="s">
        <v>96</v>
      </c>
      <c r="N12" s="15"/>
      <c r="O12" s="16"/>
      <c r="P12" s="11">
        <f>COUNTIFS(D23:D1000,"SCPT",R23:R1000,"",S23:S1000,"")</f>
        <v>1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1</v>
      </c>
      <c r="R12" s="17">
        <f t="shared" si="0"/>
        <v>1</v>
      </c>
    </row>
    <row r="13" spans="1:29" s="8" customFormat="1" ht="11.25" x14ac:dyDescent="0.2">
      <c r="A13" s="32" t="s">
        <v>14</v>
      </c>
      <c r="B13" s="32"/>
      <c r="C13" s="32"/>
      <c r="D13" s="33" t="s">
        <v>15</v>
      </c>
      <c r="E13" s="33"/>
      <c r="F13" s="33"/>
      <c r="G13" s="33"/>
      <c r="H13" s="34" t="s">
        <v>16</v>
      </c>
      <c r="I13" s="34"/>
      <c r="J13" s="34"/>
      <c r="K13" s="34"/>
      <c r="M13" s="38" t="s">
        <v>97</v>
      </c>
      <c r="N13" s="38"/>
      <c r="O13" s="38"/>
      <c r="P13" s="11">
        <f>COUNTIFS(D23:D1000,"SDCPT",R23:R1000,"",S23:S1000,"")</f>
        <v>1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1</v>
      </c>
      <c r="R13" s="17">
        <f t="shared" si="0"/>
        <v>1</v>
      </c>
    </row>
    <row r="14" spans="1:29" s="8" customFormat="1" ht="11.25" x14ac:dyDescent="0.2">
      <c r="A14" s="32" t="s">
        <v>17</v>
      </c>
      <c r="B14" s="32"/>
      <c r="C14" s="32"/>
      <c r="D14" s="33" t="s">
        <v>18</v>
      </c>
      <c r="E14" s="33"/>
      <c r="F14" s="33"/>
      <c r="G14" s="33"/>
      <c r="H14" s="34" t="s">
        <v>19</v>
      </c>
      <c r="I14" s="34"/>
      <c r="J14" s="34"/>
      <c r="K14" s="34"/>
      <c r="AB14" s="14"/>
      <c r="AC14" s="14"/>
    </row>
    <row r="15" spans="1:29" s="8" customFormat="1" ht="11.25" x14ac:dyDescent="0.2">
      <c r="A15" s="32" t="s">
        <v>20</v>
      </c>
      <c r="B15" s="32"/>
      <c r="C15" s="32"/>
      <c r="D15" s="33" t="s">
        <v>224</v>
      </c>
      <c r="E15" s="33"/>
      <c r="F15" s="33"/>
      <c r="G15" s="33"/>
      <c r="H15" s="34" t="s">
        <v>102</v>
      </c>
      <c r="I15" s="34"/>
      <c r="J15" s="34"/>
      <c r="K15" s="34"/>
      <c r="AB15" s="14"/>
      <c r="AC15" s="14"/>
    </row>
    <row r="16" spans="1:29" s="8" customFormat="1" ht="11.25" x14ac:dyDescent="0.2">
      <c r="A16" s="32" t="s">
        <v>21</v>
      </c>
      <c r="B16" s="32"/>
      <c r="C16" s="32"/>
      <c r="D16" s="37">
        <v>46650</v>
      </c>
      <c r="E16" s="33"/>
      <c r="F16" s="33"/>
      <c r="G16" s="33"/>
      <c r="H16" s="34" t="s">
        <v>101</v>
      </c>
      <c r="I16" s="34"/>
      <c r="J16" s="34"/>
      <c r="K16" s="34"/>
      <c r="AB16" s="14"/>
      <c r="AC16" s="14"/>
    </row>
    <row r="17" spans="1:29" s="8" customFormat="1" ht="11.25" x14ac:dyDescent="0.2">
      <c r="A17" s="32" t="s">
        <v>22</v>
      </c>
      <c r="B17" s="32"/>
      <c r="C17" s="32"/>
      <c r="D17" s="33" t="s">
        <v>82</v>
      </c>
      <c r="E17" s="33"/>
      <c r="F17" s="33"/>
      <c r="G17" s="33"/>
      <c r="H17" s="34"/>
      <c r="I17" s="34"/>
      <c r="J17" s="34"/>
      <c r="K17" s="34"/>
      <c r="AB17" s="14"/>
      <c r="AC17" s="14"/>
    </row>
    <row r="18" spans="1:29" s="8" customFormat="1" ht="11.25" x14ac:dyDescent="0.2">
      <c r="A18" s="32" t="s">
        <v>23</v>
      </c>
      <c r="B18" s="32"/>
      <c r="C18" s="32"/>
      <c r="D18" s="33" t="s">
        <v>107</v>
      </c>
      <c r="E18" s="33"/>
      <c r="F18" s="33"/>
      <c r="G18" s="33"/>
      <c r="H18" s="34"/>
      <c r="I18" s="34"/>
      <c r="J18" s="34"/>
      <c r="K18" s="34"/>
      <c r="AB18" s="14"/>
      <c r="AC18" s="14"/>
    </row>
    <row r="19" spans="1:29" s="8" customFormat="1" ht="11.25" x14ac:dyDescent="0.2">
      <c r="AB19" s="14"/>
      <c r="AC19" s="14"/>
    </row>
    <row r="20" spans="1:29" s="8" customFormat="1" ht="11.25" x14ac:dyDescent="0.2">
      <c r="A20" s="9" t="s">
        <v>24</v>
      </c>
      <c r="C20" s="10"/>
      <c r="D20" s="29" t="s">
        <v>25</v>
      </c>
      <c r="E20" s="29"/>
      <c r="F20" s="29"/>
      <c r="G20" s="29"/>
      <c r="H20" s="36"/>
      <c r="I20" s="36"/>
      <c r="J20" s="36"/>
      <c r="K20" s="36"/>
    </row>
    <row r="22" spans="1:29" ht="34.5" customHeight="1" x14ac:dyDescent="0.15">
      <c r="A22" s="19" t="s">
        <v>26</v>
      </c>
      <c r="B22" s="19" t="s">
        <v>113</v>
      </c>
      <c r="C22" s="19" t="s">
        <v>27</v>
      </c>
      <c r="D22" s="19" t="s">
        <v>28</v>
      </c>
      <c r="E22" s="19" t="s">
        <v>103</v>
      </c>
      <c r="F22" s="19" t="s">
        <v>104</v>
      </c>
      <c r="G22" s="19" t="s">
        <v>156</v>
      </c>
      <c r="H22" s="19" t="s">
        <v>105</v>
      </c>
      <c r="I22" s="19" t="s">
        <v>29</v>
      </c>
      <c r="J22" s="19" t="s">
        <v>114</v>
      </c>
      <c r="K22" s="19" t="s">
        <v>121</v>
      </c>
      <c r="L22" s="19" t="s">
        <v>136</v>
      </c>
      <c r="M22" s="19" t="s">
        <v>137</v>
      </c>
      <c r="N22" s="19" t="s">
        <v>152</v>
      </c>
      <c r="O22" s="19" t="s">
        <v>151</v>
      </c>
      <c r="P22" s="19" t="s">
        <v>138</v>
      </c>
      <c r="Q22" s="19" t="s">
        <v>139</v>
      </c>
      <c r="R22" s="19" t="s">
        <v>157</v>
      </c>
      <c r="S22" s="19" t="s">
        <v>170</v>
      </c>
      <c r="T22" s="19" t="s">
        <v>30</v>
      </c>
    </row>
    <row r="23" spans="1:29" x14ac:dyDescent="0.15">
      <c r="A23" s="20">
        <v>1</v>
      </c>
      <c r="B23" s="20" t="s">
        <v>173</v>
      </c>
      <c r="C23" s="20" t="s">
        <v>174</v>
      </c>
      <c r="D23" s="20" t="s">
        <v>33</v>
      </c>
      <c r="E23" s="21">
        <v>496000</v>
      </c>
      <c r="F23" s="21">
        <v>6155500</v>
      </c>
      <c r="G23" s="22">
        <v>-29.5</v>
      </c>
      <c r="H23" s="22">
        <v>40</v>
      </c>
      <c r="I23" s="20">
        <v>1</v>
      </c>
      <c r="J23" s="20" t="s">
        <v>115</v>
      </c>
      <c r="K23" s="20" t="s">
        <v>124</v>
      </c>
      <c r="L23" s="20">
        <v>20270903</v>
      </c>
      <c r="M23" s="20">
        <v>20270903</v>
      </c>
      <c r="N23" s="23">
        <f ca="1">ROUND(E23 + (RAND() * 10 - 5), 2)</f>
        <v>496000.54</v>
      </c>
      <c r="O23" s="23">
        <f ca="1">ROUND(F23 + (RAND() * 10 - 5), 2)</f>
        <v>6155496.7400000002</v>
      </c>
      <c r="P23" s="22">
        <v>40.1</v>
      </c>
      <c r="Q23" s="22" t="s">
        <v>140</v>
      </c>
      <c r="R23" s="22"/>
      <c r="S23" s="22"/>
      <c r="T23" s="20"/>
    </row>
    <row r="24" spans="1:29" x14ac:dyDescent="0.15">
      <c r="A24" s="24">
        <v>2</v>
      </c>
      <c r="B24" s="24" t="s">
        <v>175</v>
      </c>
      <c r="C24" s="24" t="s">
        <v>176</v>
      </c>
      <c r="D24" s="24" t="s">
        <v>33</v>
      </c>
      <c r="E24" s="25">
        <v>499000</v>
      </c>
      <c r="F24" s="25">
        <v>6156500</v>
      </c>
      <c r="G24" s="26">
        <v>-27.24</v>
      </c>
      <c r="H24" s="26">
        <v>40</v>
      </c>
      <c r="I24" s="24">
        <v>1</v>
      </c>
      <c r="J24" s="24" t="s">
        <v>115</v>
      </c>
      <c r="K24" s="24" t="s">
        <v>124</v>
      </c>
      <c r="L24" s="24">
        <v>20270903</v>
      </c>
      <c r="M24" s="24">
        <v>20270903</v>
      </c>
      <c r="N24" s="27">
        <f t="shared" ref="N24:N49" ca="1" si="1">ROUND(E24 + (RAND() * 10 - 5), 2)</f>
        <v>499000.84</v>
      </c>
      <c r="O24" s="27">
        <f t="shared" ref="O24:O49" ca="1" si="2">ROUND(F24 + (RAND() * 10 - 5), 2)</f>
        <v>6156496.3300000001</v>
      </c>
      <c r="P24" s="26">
        <v>40.1</v>
      </c>
      <c r="Q24" s="26" t="s">
        <v>140</v>
      </c>
      <c r="R24" s="26"/>
      <c r="S24" s="26"/>
      <c r="T24" s="24"/>
    </row>
    <row r="25" spans="1:29" x14ac:dyDescent="0.15">
      <c r="A25" s="20">
        <v>3</v>
      </c>
      <c r="B25" s="20" t="s">
        <v>177</v>
      </c>
      <c r="C25" s="20" t="s">
        <v>178</v>
      </c>
      <c r="D25" s="20" t="s">
        <v>33</v>
      </c>
      <c r="E25" s="21">
        <v>502000</v>
      </c>
      <c r="F25" s="21">
        <v>6156000</v>
      </c>
      <c r="G25" s="22">
        <v>-25.25</v>
      </c>
      <c r="H25" s="22">
        <v>40</v>
      </c>
      <c r="I25" s="20">
        <v>1</v>
      </c>
      <c r="J25" s="20" t="s">
        <v>115</v>
      </c>
      <c r="K25" s="20" t="s">
        <v>124</v>
      </c>
      <c r="L25" s="20">
        <v>20270903</v>
      </c>
      <c r="M25" s="20">
        <v>20270903</v>
      </c>
      <c r="N25" s="23">
        <f t="shared" ca="1" si="1"/>
        <v>501997.59</v>
      </c>
      <c r="O25" s="23">
        <f t="shared" ca="1" si="2"/>
        <v>6156002.6600000001</v>
      </c>
      <c r="P25" s="22">
        <f>H25+0.1</f>
        <v>40.1</v>
      </c>
      <c r="Q25" s="22" t="s">
        <v>140</v>
      </c>
      <c r="R25" s="22"/>
      <c r="S25" s="22"/>
      <c r="T25" s="20"/>
    </row>
    <row r="26" spans="1:29" x14ac:dyDescent="0.15">
      <c r="A26" s="24">
        <v>4</v>
      </c>
      <c r="B26" s="24" t="s">
        <v>179</v>
      </c>
      <c r="C26" s="24" t="s">
        <v>180</v>
      </c>
      <c r="D26" s="24" t="s">
        <v>33</v>
      </c>
      <c r="E26" s="25">
        <v>505000</v>
      </c>
      <c r="F26" s="25">
        <v>6154000</v>
      </c>
      <c r="G26" s="26">
        <v>-20.440000000000001</v>
      </c>
      <c r="H26" s="26">
        <v>40</v>
      </c>
      <c r="I26" s="24">
        <v>1</v>
      </c>
      <c r="J26" s="24" t="s">
        <v>115</v>
      </c>
      <c r="K26" s="24" t="s">
        <v>124</v>
      </c>
      <c r="L26" s="24">
        <v>20270903</v>
      </c>
      <c r="M26" s="24">
        <v>20270904</v>
      </c>
      <c r="N26" s="27">
        <f t="shared" ca="1" si="1"/>
        <v>504998.24</v>
      </c>
      <c r="O26" s="27">
        <f t="shared" ca="1" si="2"/>
        <v>6153999.7599999998</v>
      </c>
      <c r="P26" s="26">
        <f t="shared" ref="P26:P49" si="3">H26+0.1</f>
        <v>40.1</v>
      </c>
      <c r="Q26" s="26" t="s">
        <v>140</v>
      </c>
      <c r="R26" s="26"/>
      <c r="S26" s="26"/>
      <c r="T26" s="24"/>
    </row>
    <row r="27" spans="1:29" x14ac:dyDescent="0.15">
      <c r="A27" s="20">
        <v>5</v>
      </c>
      <c r="B27" s="20" t="s">
        <v>181</v>
      </c>
      <c r="C27" s="20" t="s">
        <v>182</v>
      </c>
      <c r="D27" s="20" t="s">
        <v>33</v>
      </c>
      <c r="E27" s="21">
        <v>495500</v>
      </c>
      <c r="F27" s="21">
        <v>6151500</v>
      </c>
      <c r="G27" s="22">
        <v>-21.5</v>
      </c>
      <c r="H27" s="22">
        <v>40</v>
      </c>
      <c r="I27" s="20">
        <v>1</v>
      </c>
      <c r="J27" s="20" t="s">
        <v>115</v>
      </c>
      <c r="K27" s="20" t="s">
        <v>124</v>
      </c>
      <c r="L27" s="20">
        <v>20270904</v>
      </c>
      <c r="M27" s="20">
        <v>20270904</v>
      </c>
      <c r="N27" s="23">
        <f t="shared" ca="1" si="1"/>
        <v>495504.16</v>
      </c>
      <c r="O27" s="23">
        <f t="shared" ca="1" si="2"/>
        <v>6151503.9699999997</v>
      </c>
      <c r="P27" s="22">
        <f t="shared" si="3"/>
        <v>40.1</v>
      </c>
      <c r="Q27" s="22" t="s">
        <v>140</v>
      </c>
      <c r="R27" s="22"/>
      <c r="S27" s="22"/>
      <c r="T27" s="20"/>
    </row>
    <row r="28" spans="1:29" x14ac:dyDescent="0.15">
      <c r="A28" s="24">
        <v>6</v>
      </c>
      <c r="B28" s="24" t="s">
        <v>183</v>
      </c>
      <c r="C28" s="24" t="s">
        <v>184</v>
      </c>
      <c r="D28" s="24" t="s">
        <v>33</v>
      </c>
      <c r="E28" s="25">
        <v>499000</v>
      </c>
      <c r="F28" s="25">
        <v>6152000</v>
      </c>
      <c r="G28" s="26">
        <v>-29.39</v>
      </c>
      <c r="H28" s="26">
        <v>40</v>
      </c>
      <c r="I28" s="24">
        <v>1</v>
      </c>
      <c r="J28" s="24" t="s">
        <v>115</v>
      </c>
      <c r="K28" s="24" t="s">
        <v>124</v>
      </c>
      <c r="L28" s="24">
        <v>20270904</v>
      </c>
      <c r="M28" s="24">
        <v>20270904</v>
      </c>
      <c r="N28" s="27">
        <f t="shared" ca="1" si="1"/>
        <v>498999.16</v>
      </c>
      <c r="O28" s="27">
        <f t="shared" ca="1" si="2"/>
        <v>6151995.0300000003</v>
      </c>
      <c r="P28" s="26">
        <f t="shared" si="3"/>
        <v>40.1</v>
      </c>
      <c r="Q28" s="26" t="s">
        <v>140</v>
      </c>
      <c r="R28" s="26"/>
      <c r="S28" s="26"/>
      <c r="T28" s="24"/>
    </row>
    <row r="29" spans="1:29" x14ac:dyDescent="0.15">
      <c r="A29" s="20">
        <v>7</v>
      </c>
      <c r="B29" s="20" t="s">
        <v>185</v>
      </c>
      <c r="C29" s="20" t="s">
        <v>186</v>
      </c>
      <c r="D29" s="20" t="s">
        <v>33</v>
      </c>
      <c r="E29" s="21">
        <v>503000</v>
      </c>
      <c r="F29" s="21">
        <v>6151000</v>
      </c>
      <c r="G29" s="22">
        <v>-24.55</v>
      </c>
      <c r="H29" s="22">
        <v>40</v>
      </c>
      <c r="I29" s="20">
        <v>1</v>
      </c>
      <c r="J29" s="20" t="s">
        <v>115</v>
      </c>
      <c r="K29" s="20" t="s">
        <v>124</v>
      </c>
      <c r="L29" s="20">
        <v>20270904</v>
      </c>
      <c r="M29" s="20">
        <v>20270904</v>
      </c>
      <c r="N29" s="23">
        <f t="shared" ca="1" si="1"/>
        <v>503001.39</v>
      </c>
      <c r="O29" s="23">
        <f t="shared" ca="1" si="2"/>
        <v>6151004.6600000001</v>
      </c>
      <c r="P29" s="22">
        <f t="shared" si="3"/>
        <v>40.1</v>
      </c>
      <c r="Q29" s="22" t="s">
        <v>140</v>
      </c>
      <c r="R29" s="22"/>
      <c r="S29" s="22"/>
      <c r="T29" s="20"/>
    </row>
    <row r="30" spans="1:29" x14ac:dyDescent="0.15">
      <c r="A30" s="24">
        <v>8</v>
      </c>
      <c r="B30" s="24" t="s">
        <v>187</v>
      </c>
      <c r="C30" s="24" t="s">
        <v>188</v>
      </c>
      <c r="D30" s="24" t="s">
        <v>33</v>
      </c>
      <c r="E30" s="25">
        <v>506000</v>
      </c>
      <c r="F30" s="25">
        <v>6149500</v>
      </c>
      <c r="G30" s="26">
        <v>-27.38</v>
      </c>
      <c r="H30" s="26">
        <v>40</v>
      </c>
      <c r="I30" s="24">
        <v>1</v>
      </c>
      <c r="J30" s="24" t="s">
        <v>115</v>
      </c>
      <c r="K30" s="24" t="s">
        <v>124</v>
      </c>
      <c r="L30" s="24">
        <v>20270905</v>
      </c>
      <c r="M30" s="24">
        <v>20270905</v>
      </c>
      <c r="N30" s="27">
        <f t="shared" ca="1" si="1"/>
        <v>505998.18</v>
      </c>
      <c r="O30" s="27">
        <f t="shared" ca="1" si="2"/>
        <v>6149495.6299999999</v>
      </c>
      <c r="P30" s="26">
        <f t="shared" si="3"/>
        <v>40.1</v>
      </c>
      <c r="Q30" s="26" t="s">
        <v>140</v>
      </c>
      <c r="R30" s="26"/>
      <c r="S30" s="26"/>
      <c r="T30" s="24"/>
    </row>
    <row r="31" spans="1:29" x14ac:dyDescent="0.15">
      <c r="A31" s="20">
        <v>9</v>
      </c>
      <c r="B31" s="20" t="s">
        <v>189</v>
      </c>
      <c r="C31" s="20" t="s">
        <v>190</v>
      </c>
      <c r="D31" s="20" t="s">
        <v>31</v>
      </c>
      <c r="E31" s="21">
        <v>497000</v>
      </c>
      <c r="F31" s="21">
        <v>6147500</v>
      </c>
      <c r="G31" s="22">
        <v>-28.86</v>
      </c>
      <c r="H31" s="22">
        <v>50</v>
      </c>
      <c r="I31" s="20">
        <v>1</v>
      </c>
      <c r="J31" s="20" t="s">
        <v>115</v>
      </c>
      <c r="K31" s="20" t="s">
        <v>124</v>
      </c>
      <c r="L31" s="20">
        <v>20270911</v>
      </c>
      <c r="M31" s="20">
        <v>20270912</v>
      </c>
      <c r="N31" s="23">
        <f t="shared" ca="1" si="1"/>
        <v>497003.87</v>
      </c>
      <c r="O31" s="23">
        <f t="shared" ca="1" si="2"/>
        <v>6147503.5599999996</v>
      </c>
      <c r="P31" s="22">
        <f t="shared" si="3"/>
        <v>50.1</v>
      </c>
      <c r="Q31" s="22" t="s">
        <v>140</v>
      </c>
      <c r="R31" s="22"/>
      <c r="S31" s="22"/>
      <c r="T31" s="20"/>
    </row>
    <row r="32" spans="1:29" x14ac:dyDescent="0.15">
      <c r="A32" s="24">
        <v>10</v>
      </c>
      <c r="B32" s="24" t="s">
        <v>191</v>
      </c>
      <c r="C32" s="24" t="s">
        <v>192</v>
      </c>
      <c r="D32" s="24" t="s">
        <v>33</v>
      </c>
      <c r="E32" s="25">
        <v>497000</v>
      </c>
      <c r="F32" s="25">
        <v>6147517</v>
      </c>
      <c r="G32" s="26">
        <v>-28.4</v>
      </c>
      <c r="H32" s="26">
        <v>30</v>
      </c>
      <c r="I32" s="24">
        <v>1</v>
      </c>
      <c r="J32" s="24" t="s">
        <v>115</v>
      </c>
      <c r="K32" s="24" t="s">
        <v>124</v>
      </c>
      <c r="L32" s="24">
        <v>20270905</v>
      </c>
      <c r="M32" s="24">
        <v>20270905</v>
      </c>
      <c r="N32" s="27">
        <f t="shared" ca="1" si="1"/>
        <v>496995.65</v>
      </c>
      <c r="O32" s="27">
        <f t="shared" ca="1" si="2"/>
        <v>6147517.5999999996</v>
      </c>
      <c r="P32" s="26">
        <f t="shared" si="3"/>
        <v>30.1</v>
      </c>
      <c r="Q32" s="26" t="s">
        <v>140</v>
      </c>
      <c r="R32" s="26"/>
      <c r="S32" s="26"/>
      <c r="T32" s="24"/>
    </row>
    <row r="33" spans="1:20" x14ac:dyDescent="0.15">
      <c r="A33" s="20">
        <v>11</v>
      </c>
      <c r="B33" s="20" t="s">
        <v>193</v>
      </c>
      <c r="C33" s="20" t="s">
        <v>194</v>
      </c>
      <c r="D33" s="20" t="s">
        <v>33</v>
      </c>
      <c r="E33" s="21">
        <v>496985</v>
      </c>
      <c r="F33" s="21">
        <v>6147491</v>
      </c>
      <c r="G33" s="22">
        <v>-26.7</v>
      </c>
      <c r="H33" s="22">
        <v>30</v>
      </c>
      <c r="I33" s="20">
        <v>1</v>
      </c>
      <c r="J33" s="20" t="s">
        <v>115</v>
      </c>
      <c r="K33" s="20" t="s">
        <v>124</v>
      </c>
      <c r="L33" s="20">
        <v>20270905</v>
      </c>
      <c r="M33" s="20">
        <v>20270905</v>
      </c>
      <c r="N33" s="23">
        <f t="shared" ca="1" si="1"/>
        <v>496981.29</v>
      </c>
      <c r="O33" s="23">
        <f t="shared" ca="1" si="2"/>
        <v>6147492.8200000003</v>
      </c>
      <c r="P33" s="22">
        <f t="shared" si="3"/>
        <v>30.1</v>
      </c>
      <c r="Q33" s="22" t="s">
        <v>140</v>
      </c>
      <c r="R33" s="22"/>
      <c r="S33" s="22"/>
      <c r="T33" s="20"/>
    </row>
    <row r="34" spans="1:20" x14ac:dyDescent="0.15">
      <c r="A34" s="24">
        <v>12</v>
      </c>
      <c r="B34" s="24" t="s">
        <v>195</v>
      </c>
      <c r="C34" s="24" t="s">
        <v>196</v>
      </c>
      <c r="D34" s="24" t="s">
        <v>33</v>
      </c>
      <c r="E34" s="25">
        <v>497015</v>
      </c>
      <c r="F34" s="25">
        <v>6147491</v>
      </c>
      <c r="G34" s="26">
        <v>-20.69</v>
      </c>
      <c r="H34" s="26">
        <v>30</v>
      </c>
      <c r="I34" s="24">
        <v>1</v>
      </c>
      <c r="J34" s="24" t="s">
        <v>115</v>
      </c>
      <c r="K34" s="24" t="s">
        <v>124</v>
      </c>
      <c r="L34" s="24">
        <v>20270905</v>
      </c>
      <c r="M34" s="24">
        <v>20270905</v>
      </c>
      <c r="N34" s="27">
        <f t="shared" ca="1" si="1"/>
        <v>497013.05</v>
      </c>
      <c r="O34" s="27">
        <f t="shared" ca="1" si="2"/>
        <v>6147495.6799999997</v>
      </c>
      <c r="P34" s="26">
        <f t="shared" si="3"/>
        <v>30.1</v>
      </c>
      <c r="Q34" s="26" t="s">
        <v>140</v>
      </c>
      <c r="R34" s="26"/>
      <c r="S34" s="26"/>
      <c r="T34" s="24"/>
    </row>
    <row r="35" spans="1:20" x14ac:dyDescent="0.15">
      <c r="A35" s="20">
        <v>13</v>
      </c>
      <c r="B35" s="20" t="s">
        <v>197</v>
      </c>
      <c r="C35" s="20" t="s">
        <v>198</v>
      </c>
      <c r="D35" s="20" t="s">
        <v>31</v>
      </c>
      <c r="E35" s="21">
        <v>503500</v>
      </c>
      <c r="F35" s="21">
        <v>6146500</v>
      </c>
      <c r="G35" s="22">
        <v>-24.63</v>
      </c>
      <c r="H35" s="22">
        <v>50</v>
      </c>
      <c r="I35" s="20">
        <v>1</v>
      </c>
      <c r="J35" s="20" t="s">
        <v>115</v>
      </c>
      <c r="K35" s="20" t="s">
        <v>124</v>
      </c>
      <c r="L35" s="20">
        <v>20270913</v>
      </c>
      <c r="M35" s="20">
        <v>20270915</v>
      </c>
      <c r="N35" s="23">
        <f t="shared" ca="1" si="1"/>
        <v>503500.97</v>
      </c>
      <c r="O35" s="23">
        <f t="shared" ca="1" si="2"/>
        <v>6146497.5300000003</v>
      </c>
      <c r="P35" s="22">
        <f t="shared" si="3"/>
        <v>50.1</v>
      </c>
      <c r="Q35" s="22" t="s">
        <v>140</v>
      </c>
      <c r="R35" s="22"/>
      <c r="S35" s="22"/>
      <c r="T35" s="20"/>
    </row>
    <row r="36" spans="1:20" x14ac:dyDescent="0.15">
      <c r="A36" s="24">
        <v>14</v>
      </c>
      <c r="B36" s="24" t="s">
        <v>199</v>
      </c>
      <c r="C36" s="24" t="s">
        <v>200</v>
      </c>
      <c r="D36" s="24" t="s">
        <v>33</v>
      </c>
      <c r="E36" s="25">
        <v>503500</v>
      </c>
      <c r="F36" s="25">
        <v>6146517</v>
      </c>
      <c r="G36" s="26">
        <v>-26.13</v>
      </c>
      <c r="H36" s="26">
        <v>30</v>
      </c>
      <c r="I36" s="24">
        <v>1</v>
      </c>
      <c r="J36" s="24" t="s">
        <v>115</v>
      </c>
      <c r="K36" s="24" t="s">
        <v>124</v>
      </c>
      <c r="L36" s="24">
        <v>20270906</v>
      </c>
      <c r="M36" s="24">
        <v>20270906</v>
      </c>
      <c r="N36" s="27">
        <f t="shared" ca="1" si="1"/>
        <v>503496.36</v>
      </c>
      <c r="O36" s="27">
        <f t="shared" ca="1" si="2"/>
        <v>6146517.0099999998</v>
      </c>
      <c r="P36" s="26">
        <f t="shared" si="3"/>
        <v>30.1</v>
      </c>
      <c r="Q36" s="26" t="s">
        <v>140</v>
      </c>
      <c r="R36" s="26"/>
      <c r="S36" s="26"/>
      <c r="T36" s="24"/>
    </row>
    <row r="37" spans="1:20" x14ac:dyDescent="0.15">
      <c r="A37" s="20">
        <v>15</v>
      </c>
      <c r="B37" s="20" t="s">
        <v>201</v>
      </c>
      <c r="C37" s="20" t="s">
        <v>202</v>
      </c>
      <c r="D37" s="20" t="s">
        <v>33</v>
      </c>
      <c r="E37" s="21">
        <v>503485</v>
      </c>
      <c r="F37" s="21">
        <v>6146491</v>
      </c>
      <c r="G37" s="22">
        <v>-25.71</v>
      </c>
      <c r="H37" s="22">
        <v>30</v>
      </c>
      <c r="I37" s="20">
        <v>1</v>
      </c>
      <c r="J37" s="20" t="s">
        <v>115</v>
      </c>
      <c r="K37" s="20" t="s">
        <v>124</v>
      </c>
      <c r="L37" s="20">
        <v>20270906</v>
      </c>
      <c r="M37" s="20">
        <v>20270906</v>
      </c>
      <c r="N37" s="23">
        <f t="shared" ca="1" si="1"/>
        <v>503487.2</v>
      </c>
      <c r="O37" s="23">
        <f t="shared" ca="1" si="2"/>
        <v>6146494.5800000001</v>
      </c>
      <c r="P37" s="22">
        <f t="shared" si="3"/>
        <v>30.1</v>
      </c>
      <c r="Q37" s="22" t="s">
        <v>140</v>
      </c>
      <c r="R37" s="22"/>
      <c r="S37" s="22"/>
      <c r="T37" s="20"/>
    </row>
    <row r="38" spans="1:20" x14ac:dyDescent="0.15">
      <c r="A38" s="24">
        <v>16</v>
      </c>
      <c r="B38" s="24" t="s">
        <v>203</v>
      </c>
      <c r="C38" s="24" t="s">
        <v>204</v>
      </c>
      <c r="D38" s="24" t="s">
        <v>33</v>
      </c>
      <c r="E38" s="25">
        <v>503515</v>
      </c>
      <c r="F38" s="25">
        <v>6146491</v>
      </c>
      <c r="G38" s="26">
        <v>-27.85</v>
      </c>
      <c r="H38" s="26">
        <v>30</v>
      </c>
      <c r="I38" s="24">
        <v>1</v>
      </c>
      <c r="J38" s="24" t="s">
        <v>115</v>
      </c>
      <c r="K38" s="24" t="s">
        <v>124</v>
      </c>
      <c r="L38" s="24">
        <v>20270906</v>
      </c>
      <c r="M38" s="24">
        <v>20270906</v>
      </c>
      <c r="N38" s="27">
        <f t="shared" ca="1" si="1"/>
        <v>503510.3</v>
      </c>
      <c r="O38" s="27">
        <f t="shared" ca="1" si="2"/>
        <v>6146490.3899999997</v>
      </c>
      <c r="P38" s="26">
        <f t="shared" si="3"/>
        <v>30.1</v>
      </c>
      <c r="Q38" s="26" t="s">
        <v>140</v>
      </c>
      <c r="R38" s="26"/>
      <c r="S38" s="26"/>
      <c r="T38" s="24"/>
    </row>
    <row r="39" spans="1:20" x14ac:dyDescent="0.15">
      <c r="A39" s="20">
        <v>17</v>
      </c>
      <c r="B39" s="20" t="s">
        <v>205</v>
      </c>
      <c r="C39" s="20" t="s">
        <v>206</v>
      </c>
      <c r="D39" s="20" t="s">
        <v>56</v>
      </c>
      <c r="E39" s="21">
        <v>501000</v>
      </c>
      <c r="F39" s="21">
        <v>6149000</v>
      </c>
      <c r="G39" s="22">
        <v>-20.21</v>
      </c>
      <c r="H39" s="22">
        <v>70</v>
      </c>
      <c r="I39" s="20">
        <v>1</v>
      </c>
      <c r="J39" s="20" t="s">
        <v>115</v>
      </c>
      <c r="K39" s="20" t="s">
        <v>124</v>
      </c>
      <c r="L39" s="20">
        <v>20270915</v>
      </c>
      <c r="M39" s="20">
        <v>20270917</v>
      </c>
      <c r="N39" s="23">
        <f t="shared" ca="1" si="1"/>
        <v>501001.92</v>
      </c>
      <c r="O39" s="23">
        <f t="shared" ca="1" si="2"/>
        <v>6148998.5499999998</v>
      </c>
      <c r="P39" s="22">
        <f t="shared" si="3"/>
        <v>70.099999999999994</v>
      </c>
      <c r="Q39" s="22" t="s">
        <v>140</v>
      </c>
      <c r="R39" s="22"/>
      <c r="S39" s="22"/>
      <c r="T39" s="20"/>
    </row>
    <row r="40" spans="1:20" x14ac:dyDescent="0.15">
      <c r="A40" s="24">
        <v>18</v>
      </c>
      <c r="B40" s="24" t="s">
        <v>205</v>
      </c>
      <c r="C40" s="24" t="s">
        <v>207</v>
      </c>
      <c r="D40" s="24" t="s">
        <v>92</v>
      </c>
      <c r="E40" s="25">
        <v>501000</v>
      </c>
      <c r="F40" s="25">
        <v>6149000</v>
      </c>
      <c r="G40" s="26">
        <v>-29.69</v>
      </c>
      <c r="H40" s="26">
        <v>30</v>
      </c>
      <c r="I40" s="24">
        <v>1</v>
      </c>
      <c r="J40" s="24" t="s">
        <v>115</v>
      </c>
      <c r="K40" s="24" t="s">
        <v>124</v>
      </c>
      <c r="L40" s="24">
        <v>20270906</v>
      </c>
      <c r="M40" s="24">
        <v>20270907</v>
      </c>
      <c r="N40" s="27">
        <f t="shared" ca="1" si="1"/>
        <v>501001.37</v>
      </c>
      <c r="O40" s="27">
        <f t="shared" ca="1" si="2"/>
        <v>6149001.6200000001</v>
      </c>
      <c r="P40" s="26">
        <f t="shared" si="3"/>
        <v>30.1</v>
      </c>
      <c r="Q40" s="26" t="s">
        <v>140</v>
      </c>
      <c r="R40" s="26"/>
      <c r="S40" s="26"/>
      <c r="T40" s="24"/>
    </row>
    <row r="41" spans="1:20" x14ac:dyDescent="0.15">
      <c r="A41" s="20">
        <v>19</v>
      </c>
      <c r="B41" s="20" t="s">
        <v>205</v>
      </c>
      <c r="C41" s="20" t="s">
        <v>208</v>
      </c>
      <c r="D41" s="20" t="s">
        <v>93</v>
      </c>
      <c r="E41" s="21">
        <v>501000</v>
      </c>
      <c r="F41" s="21">
        <v>6149000</v>
      </c>
      <c r="G41" s="22">
        <v>-20.85</v>
      </c>
      <c r="H41" s="22">
        <v>70</v>
      </c>
      <c r="I41" s="20">
        <v>1</v>
      </c>
      <c r="J41" s="20" t="s">
        <v>115</v>
      </c>
      <c r="K41" s="20" t="s">
        <v>124</v>
      </c>
      <c r="L41" s="20">
        <v>20270909</v>
      </c>
      <c r="M41" s="20">
        <v>20270909</v>
      </c>
      <c r="N41" s="23">
        <f t="shared" ca="1" si="1"/>
        <v>500999.72</v>
      </c>
      <c r="O41" s="23">
        <f t="shared" ca="1" si="2"/>
        <v>6149004.1100000003</v>
      </c>
      <c r="P41" s="22">
        <f t="shared" si="3"/>
        <v>70.099999999999994</v>
      </c>
      <c r="Q41" s="22" t="s">
        <v>140</v>
      </c>
      <c r="R41" s="22"/>
      <c r="S41" s="22"/>
      <c r="T41" s="20"/>
    </row>
    <row r="42" spans="1:20" x14ac:dyDescent="0.15">
      <c r="A42" s="24">
        <v>20</v>
      </c>
      <c r="B42" s="24" t="s">
        <v>209</v>
      </c>
      <c r="C42" s="24" t="s">
        <v>210</v>
      </c>
      <c r="D42" s="24" t="s">
        <v>33</v>
      </c>
      <c r="E42" s="25">
        <v>500980</v>
      </c>
      <c r="F42" s="25">
        <v>6149020</v>
      </c>
      <c r="G42" s="26">
        <v>-24.84</v>
      </c>
      <c r="H42" s="26">
        <v>30</v>
      </c>
      <c r="I42" s="24">
        <v>1</v>
      </c>
      <c r="J42" s="24" t="s">
        <v>115</v>
      </c>
      <c r="K42" s="24" t="s">
        <v>124</v>
      </c>
      <c r="L42" s="24">
        <v>20270907</v>
      </c>
      <c r="M42" s="24">
        <v>20270907</v>
      </c>
      <c r="N42" s="27">
        <f t="shared" ca="1" si="1"/>
        <v>500976.78</v>
      </c>
      <c r="O42" s="27">
        <f t="shared" ca="1" si="2"/>
        <v>6149019.0800000001</v>
      </c>
      <c r="P42" s="26">
        <f t="shared" si="3"/>
        <v>30.1</v>
      </c>
      <c r="Q42" s="26" t="s">
        <v>140</v>
      </c>
      <c r="R42" s="26"/>
      <c r="S42" s="26"/>
      <c r="T42" s="24"/>
    </row>
    <row r="43" spans="1:20" x14ac:dyDescent="0.15">
      <c r="A43" s="20">
        <v>21</v>
      </c>
      <c r="B43" s="20" t="s">
        <v>209</v>
      </c>
      <c r="C43" s="20" t="s">
        <v>211</v>
      </c>
      <c r="D43" s="20" t="s">
        <v>32</v>
      </c>
      <c r="E43" s="21">
        <v>500980</v>
      </c>
      <c r="F43" s="21">
        <v>6149020</v>
      </c>
      <c r="G43" s="22">
        <v>-22.5</v>
      </c>
      <c r="H43" s="22">
        <v>70</v>
      </c>
      <c r="I43" s="20">
        <v>1</v>
      </c>
      <c r="J43" s="20" t="s">
        <v>115</v>
      </c>
      <c r="K43" s="20" t="s">
        <v>124</v>
      </c>
      <c r="L43" s="20">
        <v>20270909</v>
      </c>
      <c r="M43" s="20">
        <v>20270909</v>
      </c>
      <c r="N43" s="23">
        <f t="shared" ca="1" si="1"/>
        <v>500975.77</v>
      </c>
      <c r="O43" s="23">
        <f t="shared" ca="1" si="2"/>
        <v>6149019.3200000003</v>
      </c>
      <c r="P43" s="22">
        <f t="shared" si="3"/>
        <v>70.099999999999994</v>
      </c>
      <c r="Q43" s="22" t="s">
        <v>140</v>
      </c>
      <c r="R43" s="22"/>
      <c r="S43" s="22"/>
      <c r="T43" s="20"/>
    </row>
    <row r="44" spans="1:20" x14ac:dyDescent="0.15">
      <c r="A44" s="24">
        <v>22</v>
      </c>
      <c r="B44" s="24" t="s">
        <v>212</v>
      </c>
      <c r="C44" s="24" t="s">
        <v>213</v>
      </c>
      <c r="D44" s="24" t="s">
        <v>33</v>
      </c>
      <c r="E44" s="25">
        <v>501020</v>
      </c>
      <c r="F44" s="25">
        <v>6149020</v>
      </c>
      <c r="G44" s="26">
        <v>-24.6</v>
      </c>
      <c r="H44" s="26">
        <v>30</v>
      </c>
      <c r="I44" s="24">
        <v>1</v>
      </c>
      <c r="J44" s="24" t="s">
        <v>115</v>
      </c>
      <c r="K44" s="24" t="s">
        <v>124</v>
      </c>
      <c r="L44" s="24">
        <v>20270907</v>
      </c>
      <c r="M44" s="24">
        <v>20270907</v>
      </c>
      <c r="N44" s="27">
        <f t="shared" ca="1" si="1"/>
        <v>501023.37</v>
      </c>
      <c r="O44" s="27">
        <f t="shared" ca="1" si="2"/>
        <v>6149019.2999999998</v>
      </c>
      <c r="P44" s="26">
        <f t="shared" si="3"/>
        <v>30.1</v>
      </c>
      <c r="Q44" s="26" t="s">
        <v>140</v>
      </c>
      <c r="R44" s="26"/>
      <c r="S44" s="26"/>
      <c r="T44" s="24"/>
    </row>
    <row r="45" spans="1:20" x14ac:dyDescent="0.15">
      <c r="A45" s="20">
        <v>23</v>
      </c>
      <c r="B45" s="20" t="s">
        <v>212</v>
      </c>
      <c r="C45" s="20" t="s">
        <v>214</v>
      </c>
      <c r="D45" s="20" t="s">
        <v>32</v>
      </c>
      <c r="E45" s="21">
        <v>501020</v>
      </c>
      <c r="F45" s="21">
        <v>6149020</v>
      </c>
      <c r="G45" s="22">
        <v>-22</v>
      </c>
      <c r="H45" s="22">
        <v>70</v>
      </c>
      <c r="I45" s="20">
        <v>1</v>
      </c>
      <c r="J45" s="20" t="s">
        <v>115</v>
      </c>
      <c r="K45" s="20" t="s">
        <v>124</v>
      </c>
      <c r="L45" s="20">
        <v>20270909</v>
      </c>
      <c r="M45" s="20">
        <v>20270910</v>
      </c>
      <c r="N45" s="23">
        <f t="shared" ca="1" si="1"/>
        <v>501015.2</v>
      </c>
      <c r="O45" s="23">
        <f t="shared" ca="1" si="2"/>
        <v>6149017.6600000001</v>
      </c>
      <c r="P45" s="22">
        <f t="shared" si="3"/>
        <v>70.099999999999994</v>
      </c>
      <c r="Q45" s="22" t="s">
        <v>140</v>
      </c>
      <c r="R45" s="22"/>
      <c r="S45" s="22"/>
      <c r="T45" s="20"/>
    </row>
    <row r="46" spans="1:20" x14ac:dyDescent="0.15">
      <c r="A46" s="24">
        <v>24</v>
      </c>
      <c r="B46" s="24" t="s">
        <v>215</v>
      </c>
      <c r="C46" s="24" t="s">
        <v>216</v>
      </c>
      <c r="D46" s="24" t="s">
        <v>33</v>
      </c>
      <c r="E46" s="25">
        <v>501020</v>
      </c>
      <c r="F46" s="25">
        <v>6148980</v>
      </c>
      <c r="G46" s="26">
        <v>-26.2</v>
      </c>
      <c r="H46" s="26">
        <v>30</v>
      </c>
      <c r="I46" s="24">
        <v>1</v>
      </c>
      <c r="J46" s="24" t="s">
        <v>115</v>
      </c>
      <c r="K46" s="24" t="s">
        <v>124</v>
      </c>
      <c r="L46" s="24">
        <v>20270907</v>
      </c>
      <c r="M46" s="24">
        <v>20270908</v>
      </c>
      <c r="N46" s="27">
        <f t="shared" ca="1" si="1"/>
        <v>501023.51</v>
      </c>
      <c r="O46" s="27">
        <f t="shared" ca="1" si="2"/>
        <v>6148977.5800000001</v>
      </c>
      <c r="P46" s="26">
        <f t="shared" si="3"/>
        <v>30.1</v>
      </c>
      <c r="Q46" s="26" t="s">
        <v>140</v>
      </c>
      <c r="R46" s="26"/>
      <c r="S46" s="26"/>
      <c r="T46" s="24"/>
    </row>
    <row r="47" spans="1:20" x14ac:dyDescent="0.15">
      <c r="A47" s="20">
        <v>25</v>
      </c>
      <c r="B47" s="20" t="s">
        <v>215</v>
      </c>
      <c r="C47" s="20" t="s">
        <v>217</v>
      </c>
      <c r="D47" s="20" t="s">
        <v>32</v>
      </c>
      <c r="E47" s="21">
        <v>501020</v>
      </c>
      <c r="F47" s="21">
        <v>6148980</v>
      </c>
      <c r="G47" s="22">
        <v>-22.17</v>
      </c>
      <c r="H47" s="22">
        <v>70</v>
      </c>
      <c r="I47" s="20">
        <v>1</v>
      </c>
      <c r="J47" s="20" t="s">
        <v>115</v>
      </c>
      <c r="K47" s="20" t="s">
        <v>124</v>
      </c>
      <c r="L47" s="20">
        <v>20270910</v>
      </c>
      <c r="M47" s="20">
        <v>20270910</v>
      </c>
      <c r="N47" s="23">
        <f t="shared" ca="1" si="1"/>
        <v>501019.8</v>
      </c>
      <c r="O47" s="23">
        <f t="shared" ca="1" si="2"/>
        <v>6148977.1200000001</v>
      </c>
      <c r="P47" s="22">
        <f t="shared" si="3"/>
        <v>70.099999999999994</v>
      </c>
      <c r="Q47" s="22" t="s">
        <v>140</v>
      </c>
      <c r="R47" s="22"/>
      <c r="S47" s="22"/>
      <c r="T47" s="20"/>
    </row>
    <row r="48" spans="1:20" x14ac:dyDescent="0.15">
      <c r="A48" s="24">
        <v>26</v>
      </c>
      <c r="B48" s="24" t="s">
        <v>218</v>
      </c>
      <c r="C48" s="24" t="s">
        <v>219</v>
      </c>
      <c r="D48" s="24" t="s">
        <v>33</v>
      </c>
      <c r="E48" s="25">
        <v>500980</v>
      </c>
      <c r="F48" s="25">
        <v>6148980</v>
      </c>
      <c r="G48" s="26">
        <v>-23.38</v>
      </c>
      <c r="H48" s="26">
        <v>30</v>
      </c>
      <c r="I48" s="24">
        <v>1</v>
      </c>
      <c r="J48" s="24" t="s">
        <v>115</v>
      </c>
      <c r="K48" s="24" t="s">
        <v>124</v>
      </c>
      <c r="L48" s="24">
        <v>20270908</v>
      </c>
      <c r="M48" s="24">
        <v>20270908</v>
      </c>
      <c r="N48" s="27">
        <f t="shared" ca="1" si="1"/>
        <v>500975.44</v>
      </c>
      <c r="O48" s="27">
        <f t="shared" ca="1" si="2"/>
        <v>6148981.9500000002</v>
      </c>
      <c r="P48" s="26">
        <f t="shared" si="3"/>
        <v>30.1</v>
      </c>
      <c r="Q48" s="26" t="s">
        <v>140</v>
      </c>
      <c r="R48" s="26"/>
      <c r="S48" s="26"/>
      <c r="T48" s="24"/>
    </row>
    <row r="49" spans="1:20" x14ac:dyDescent="0.15">
      <c r="A49" s="20">
        <v>27</v>
      </c>
      <c r="B49" s="20" t="s">
        <v>218</v>
      </c>
      <c r="C49" s="20" t="s">
        <v>220</v>
      </c>
      <c r="D49" s="20" t="s">
        <v>32</v>
      </c>
      <c r="E49" s="21">
        <v>500980</v>
      </c>
      <c r="F49" s="21">
        <v>6148980</v>
      </c>
      <c r="G49" s="22">
        <v>-24.42</v>
      </c>
      <c r="H49" s="22">
        <v>70</v>
      </c>
      <c r="I49" s="20">
        <v>1</v>
      </c>
      <c r="J49" s="20" t="s">
        <v>115</v>
      </c>
      <c r="K49" s="20" t="s">
        <v>124</v>
      </c>
      <c r="L49" s="20">
        <v>20270910</v>
      </c>
      <c r="M49" s="20">
        <v>20270910</v>
      </c>
      <c r="N49" s="23">
        <f t="shared" ca="1" si="1"/>
        <v>500975.73</v>
      </c>
      <c r="O49" s="23">
        <f t="shared" ca="1" si="2"/>
        <v>6148978.8700000001</v>
      </c>
      <c r="P49" s="22">
        <f t="shared" si="3"/>
        <v>70.099999999999994</v>
      </c>
      <c r="Q49" s="22" t="s">
        <v>140</v>
      </c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7"/>
      <c r="O50" s="27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  <mergeCell ref="H20:K20"/>
    <mergeCell ref="A16:C16"/>
    <mergeCell ref="D16:G16"/>
    <mergeCell ref="H16:K16"/>
    <mergeCell ref="A17:C17"/>
    <mergeCell ref="D17:G17"/>
    <mergeCell ref="H17:K17"/>
    <mergeCell ref="D13:G13"/>
    <mergeCell ref="H13:K13"/>
    <mergeCell ref="A10:C10"/>
    <mergeCell ref="D10:G10"/>
    <mergeCell ref="H10:K10"/>
    <mergeCell ref="A11:C11"/>
    <mergeCell ref="D11:G11"/>
    <mergeCell ref="H11:K11"/>
    <mergeCell ref="A8:C8"/>
    <mergeCell ref="D8:G8"/>
    <mergeCell ref="H8:K8"/>
    <mergeCell ref="A9:C9"/>
    <mergeCell ref="D9:G9"/>
    <mergeCell ref="H9:K9"/>
    <mergeCell ref="A6:C6"/>
    <mergeCell ref="D6:G6"/>
    <mergeCell ref="H6:K6"/>
    <mergeCell ref="A7:C7"/>
    <mergeCell ref="D7:G7"/>
    <mergeCell ref="H7:K7"/>
    <mergeCell ref="A2:K2"/>
    <mergeCell ref="A4:C4"/>
    <mergeCell ref="D4:G4"/>
    <mergeCell ref="H4:K4"/>
    <mergeCell ref="A1:T1"/>
  </mergeCells>
  <dataValidations count="1">
    <dataValidation type="decimal" operator="greaterThanOrEqual" allowBlank="1" showErrorMessage="1" errorTitle="Invalid depth" error="Depths must be &gt;= 0 m." sqref="L23:M64 P23:P64 G23:H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40</v>
      </c>
    </row>
    <row r="2" spans="1:1" ht="7.5" customHeight="1" x14ac:dyDescent="0.25">
      <c r="A2" s="4"/>
    </row>
    <row r="3" spans="1:1" x14ac:dyDescent="0.25">
      <c r="A3" s="5" t="s">
        <v>41</v>
      </c>
    </row>
    <row r="4" spans="1:1" ht="33.75" customHeight="1" x14ac:dyDescent="0.25">
      <c r="A4" s="4" t="s">
        <v>98</v>
      </c>
    </row>
    <row r="5" spans="1:1" ht="7.5" customHeight="1" x14ac:dyDescent="0.25">
      <c r="A5" s="4"/>
    </row>
    <row r="6" spans="1:1" x14ac:dyDescent="0.25">
      <c r="A6" s="5" t="s">
        <v>42</v>
      </c>
    </row>
    <row r="7" spans="1:1" ht="33.75" customHeight="1" x14ac:dyDescent="0.25">
      <c r="A7" s="4" t="s">
        <v>43</v>
      </c>
    </row>
    <row r="8" spans="1:1" ht="33.75" customHeight="1" x14ac:dyDescent="0.25">
      <c r="A8" s="4" t="s">
        <v>99</v>
      </c>
    </row>
    <row r="9" spans="1:1" ht="33.75" customHeight="1" x14ac:dyDescent="0.25">
      <c r="A9" s="4" t="s">
        <v>44</v>
      </c>
    </row>
    <row r="10" spans="1:1" ht="24" customHeight="1" x14ac:dyDescent="0.25">
      <c r="A10" s="4" t="s">
        <v>45</v>
      </c>
    </row>
    <row r="11" spans="1:1" ht="33.75" customHeight="1" x14ac:dyDescent="0.25">
      <c r="A11" s="4" t="s">
        <v>46</v>
      </c>
    </row>
    <row r="12" spans="1:1" ht="24" customHeight="1" x14ac:dyDescent="0.25">
      <c r="A12" s="4" t="s">
        <v>47</v>
      </c>
    </row>
    <row r="13" spans="1:1" ht="7.5" customHeight="1" x14ac:dyDescent="0.25">
      <c r="A13" s="4"/>
    </row>
    <row r="14" spans="1:1" x14ac:dyDescent="0.25">
      <c r="A14" s="5" t="s">
        <v>48</v>
      </c>
    </row>
    <row r="15" spans="1:1" ht="39" customHeight="1" x14ac:dyDescent="0.25">
      <c r="A15" s="4" t="s">
        <v>100</v>
      </c>
    </row>
    <row r="16" spans="1:1" ht="7.5" customHeight="1" x14ac:dyDescent="0.25">
      <c r="A16" s="4"/>
    </row>
    <row r="17" spans="1:1" x14ac:dyDescent="0.25">
      <c r="A17" s="5" t="s">
        <v>49</v>
      </c>
    </row>
    <row r="18" spans="1:1" ht="33.75" customHeight="1" x14ac:dyDescent="0.25">
      <c r="A18" s="4" t="s">
        <v>50</v>
      </c>
    </row>
    <row r="19" spans="1:1" ht="7.5" customHeight="1" x14ac:dyDescent="0.25">
      <c r="A19" s="4"/>
    </row>
    <row r="20" spans="1:1" x14ac:dyDescent="0.25">
      <c r="A20" s="5" t="s">
        <v>51</v>
      </c>
    </row>
    <row r="21" spans="1:1" ht="33.75" customHeight="1" x14ac:dyDescent="0.25">
      <c r="A21" s="4" t="s">
        <v>52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W8" sqref="W8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53</v>
      </c>
      <c r="D1" s="1" t="s">
        <v>54</v>
      </c>
      <c r="G1" s="1" t="s">
        <v>29</v>
      </c>
      <c r="J1" s="1" t="s">
        <v>55</v>
      </c>
      <c r="M1" s="1" t="s">
        <v>114</v>
      </c>
      <c r="P1" s="1" t="s">
        <v>121</v>
      </c>
      <c r="S1" s="1" t="s">
        <v>139</v>
      </c>
      <c r="V1" s="1" t="s">
        <v>157</v>
      </c>
    </row>
    <row r="2" spans="1:23" x14ac:dyDescent="0.25">
      <c r="A2" s="6" t="s">
        <v>31</v>
      </c>
      <c r="B2" s="7" t="s">
        <v>64</v>
      </c>
      <c r="D2" s="6" t="s">
        <v>4</v>
      </c>
      <c r="E2" s="7" t="s">
        <v>80</v>
      </c>
      <c r="G2" s="6" t="s">
        <v>60</v>
      </c>
      <c r="H2" s="7" t="s">
        <v>61</v>
      </c>
      <c r="J2" s="6" t="s">
        <v>62</v>
      </c>
      <c r="K2" s="7" t="s">
        <v>63</v>
      </c>
      <c r="M2" s="6" t="s">
        <v>115</v>
      </c>
      <c r="N2" s="7" t="s">
        <v>118</v>
      </c>
      <c r="P2" s="6" t="s">
        <v>122</v>
      </c>
      <c r="Q2" s="7" t="s">
        <v>129</v>
      </c>
      <c r="S2" s="6" t="s">
        <v>140</v>
      </c>
      <c r="T2" s="7" t="s">
        <v>145</v>
      </c>
      <c r="V2" s="6" t="s">
        <v>158</v>
      </c>
      <c r="W2" s="7" t="s">
        <v>164</v>
      </c>
    </row>
    <row r="3" spans="1:23" x14ac:dyDescent="0.25">
      <c r="A3" s="6" t="s">
        <v>56</v>
      </c>
      <c r="B3" s="7" t="s">
        <v>57</v>
      </c>
      <c r="D3" s="6" t="s">
        <v>58</v>
      </c>
      <c r="E3" s="7" t="s">
        <v>59</v>
      </c>
      <c r="G3" s="6" t="s">
        <v>67</v>
      </c>
      <c r="H3" s="7" t="s">
        <v>68</v>
      </c>
      <c r="M3" s="6" t="s">
        <v>116</v>
      </c>
      <c r="N3" s="7" t="s">
        <v>119</v>
      </c>
      <c r="P3" s="6" t="s">
        <v>123</v>
      </c>
      <c r="Q3" s="7" t="s">
        <v>130</v>
      </c>
      <c r="S3" s="6" t="s">
        <v>141</v>
      </c>
      <c r="T3" s="7" t="s">
        <v>146</v>
      </c>
      <c r="V3" s="6" t="s">
        <v>159</v>
      </c>
      <c r="W3" s="7" t="s">
        <v>165</v>
      </c>
    </row>
    <row r="4" spans="1:23" x14ac:dyDescent="0.25">
      <c r="A4" s="6" t="s">
        <v>69</v>
      </c>
      <c r="B4" s="7" t="s">
        <v>70</v>
      </c>
      <c r="D4" s="6" t="s">
        <v>65</v>
      </c>
      <c r="E4" s="7" t="s">
        <v>66</v>
      </c>
      <c r="G4" s="6" t="s">
        <v>71</v>
      </c>
      <c r="H4" s="7" t="s">
        <v>72</v>
      </c>
      <c r="M4" s="6" t="s">
        <v>117</v>
      </c>
      <c r="N4" s="7" t="s">
        <v>120</v>
      </c>
      <c r="P4" s="6" t="s">
        <v>124</v>
      </c>
      <c r="Q4" s="7" t="s">
        <v>131</v>
      </c>
      <c r="S4" s="6" t="s">
        <v>142</v>
      </c>
      <c r="T4" s="7" t="s">
        <v>147</v>
      </c>
      <c r="V4" s="6" t="s">
        <v>160</v>
      </c>
      <c r="W4" s="7" t="s">
        <v>166</v>
      </c>
    </row>
    <row r="5" spans="1:23" x14ac:dyDescent="0.25">
      <c r="A5" s="6" t="s">
        <v>73</v>
      </c>
      <c r="B5" s="7" t="s">
        <v>74</v>
      </c>
      <c r="P5" s="6" t="s">
        <v>125</v>
      </c>
      <c r="Q5" s="7" t="s">
        <v>132</v>
      </c>
      <c r="S5" s="6" t="s">
        <v>143</v>
      </c>
      <c r="T5" s="7" t="s">
        <v>148</v>
      </c>
      <c r="V5" s="6" t="s">
        <v>161</v>
      </c>
      <c r="W5" s="7" t="s">
        <v>167</v>
      </c>
    </row>
    <row r="6" spans="1:23" x14ac:dyDescent="0.25">
      <c r="A6" s="6" t="s">
        <v>33</v>
      </c>
      <c r="B6" s="7" t="s">
        <v>75</v>
      </c>
      <c r="P6" s="6" t="s">
        <v>126</v>
      </c>
      <c r="Q6" s="7" t="s">
        <v>133</v>
      </c>
      <c r="S6" s="6" t="s">
        <v>144</v>
      </c>
      <c r="T6" s="7" t="s">
        <v>149</v>
      </c>
      <c r="V6" s="6" t="s">
        <v>162</v>
      </c>
      <c r="W6" s="7" t="s">
        <v>168</v>
      </c>
    </row>
    <row r="7" spans="1:23" x14ac:dyDescent="0.25">
      <c r="A7" s="6" t="s">
        <v>32</v>
      </c>
      <c r="B7" s="7" t="s">
        <v>76</v>
      </c>
      <c r="P7" s="6" t="s">
        <v>127</v>
      </c>
      <c r="Q7" s="7" t="s">
        <v>134</v>
      </c>
      <c r="S7" s="6" t="s">
        <v>107</v>
      </c>
      <c r="T7" s="7" t="s">
        <v>150</v>
      </c>
      <c r="V7" s="6" t="s">
        <v>163</v>
      </c>
      <c r="W7" s="7" t="s">
        <v>169</v>
      </c>
    </row>
    <row r="8" spans="1:23" x14ac:dyDescent="0.25">
      <c r="A8" s="6" t="s">
        <v>92</v>
      </c>
      <c r="B8" s="7" t="s">
        <v>94</v>
      </c>
      <c r="P8" s="6" t="s">
        <v>128</v>
      </c>
      <c r="Q8" s="7" t="s">
        <v>135</v>
      </c>
    </row>
    <row r="9" spans="1:23" x14ac:dyDescent="0.25">
      <c r="A9" s="6" t="s">
        <v>93</v>
      </c>
      <c r="B9" s="7" t="s">
        <v>95</v>
      </c>
    </row>
    <row r="10" spans="1:23" x14ac:dyDescent="0.25">
      <c r="A10" s="6" t="s">
        <v>77</v>
      </c>
      <c r="B10" s="7" t="s">
        <v>78</v>
      </c>
    </row>
    <row r="13" spans="1:23" x14ac:dyDescent="0.25">
      <c r="A13" s="2" t="s">
        <v>79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2026-07-20T13:24:38Z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