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nwh\PycharmProjects\geodb-connect\geodb\sample-data\xlsx\EHS\"/>
    </mc:Choice>
  </mc:AlternateContent>
  <xr:revisionPtr revIDLastSave="0" documentId="13_ncr:1_{C5F63718-8549-4AE1-88C3-2D3E9C5D5E95}" xr6:coauthVersionLast="47" xr6:coauthVersionMax="47" xr10:uidLastSave="{00000000-0000-0000-0000-000000000000}"/>
  <bookViews>
    <workbookView xWindow="-105" yWindow="0" windowWidth="26010" windowHeight="20985" tabRatio="500" xr2:uid="{00000000-000D-0000-FFFF-FFFF00000000}"/>
  </bookViews>
  <sheets>
    <sheet name="EHS" sheetId="1" r:id="rId1"/>
    <sheet name="Guidance" sheetId="2" r:id="rId2"/>
    <sheet name="Reference" sheetId="3" r:id="rId3"/>
  </sheets>
  <definedNames>
    <definedName name="_xlnm.Print_Titles" localSheetId="0">EHS!$22:$22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3" i="1" l="1" a="1"/>
  <c r="Q13" i="1" s="1"/>
  <c r="Q12" i="1" a="1"/>
  <c r="Q12" i="1" s="1"/>
  <c r="Q11" i="1" a="1"/>
  <c r="Q11" i="1" s="1"/>
  <c r="Q10" i="1" a="1"/>
  <c r="Q10" i="1" s="1"/>
  <c r="Q9" i="1" a="1"/>
  <c r="Q9" i="1" s="1"/>
  <c r="Q8" i="1" a="1"/>
  <c r="Q8" i="1" s="1"/>
  <c r="Q7" i="1" a="1"/>
  <c r="Q7" i="1" s="1"/>
  <c r="Q6" i="1" a="1"/>
  <c r="Q6" i="1" s="1"/>
  <c r="P13" i="1"/>
  <c r="R13" i="1" s="1"/>
  <c r="P12" i="1"/>
  <c r="P11" i="1"/>
  <c r="R11" i="1" s="1"/>
  <c r="P10" i="1"/>
  <c r="R9" i="1"/>
  <c r="P9" i="1"/>
  <c r="R8" i="1"/>
  <c r="P8" i="1"/>
  <c r="P7" i="1"/>
  <c r="P6" i="1"/>
  <c r="R6" i="1" s="1"/>
  <c r="Q5" i="1" a="1"/>
  <c r="Q5" i="1" s="1"/>
  <c r="P5" i="1"/>
  <c r="Q4" i="1" a="1"/>
  <c r="Q4" i="1" s="1"/>
  <c r="R4" i="1" s="1"/>
  <c r="P4" i="1"/>
  <c r="R12" i="1" l="1"/>
  <c r="R7" i="1"/>
  <c r="R10" i="1"/>
  <c r="R5" i="1"/>
  <c r="O24" i="1"/>
  <c r="O25" i="1"/>
  <c r="O26" i="1"/>
  <c r="O27" i="1"/>
  <c r="O29" i="1"/>
  <c r="O23" i="1"/>
  <c r="N24" i="1"/>
  <c r="N25" i="1"/>
  <c r="N26" i="1"/>
  <c r="N27" i="1"/>
  <c r="N29" i="1"/>
  <c r="N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<sst xmlns="http://schemas.openxmlformats.org/spreadsheetml/2006/main" count="220" uniqueCount="185">
  <si>
    <t>EXPLORATORY HOLE SCHEDULE (EHS)</t>
  </si>
  <si>
    <t>Site investigation name</t>
  </si>
  <si>
    <t>site_investigation.si_name</t>
  </si>
  <si>
    <t>Survey phase code</t>
  </si>
  <si>
    <t>GTP</t>
  </si>
  <si>
    <t>site_investigation.survey_phase_code</t>
  </si>
  <si>
    <t>Contractor</t>
  </si>
  <si>
    <t>site_investigation.contractor</t>
  </si>
  <si>
    <t>Layout code / revision</t>
  </si>
  <si>
    <t>Horizontal CRS (EPSG)</t>
  </si>
  <si>
    <t>Vertical datum (water depths)</t>
  </si>
  <si>
    <t>Depth reference (hole depths)</t>
  </si>
  <si>
    <t>BSF (metres below seafloor)</t>
  </si>
  <si>
    <t>reference.depth_reference</t>
  </si>
  <si>
    <t>Position tolerance</t>
  </si>
  <si>
    <t>± 5 m of target position</t>
  </si>
  <si>
    <t>Watch circle for hole positioning</t>
  </si>
  <si>
    <t>Bumpover naming convention</t>
  </si>
  <si>
    <t>Lowercase suffix a, b, c... appended to hole name</t>
  </si>
  <si>
    <t>exploratory_hole.bumpover_label</t>
  </si>
  <si>
    <t>Form revision</t>
  </si>
  <si>
    <t>Date issued</t>
  </si>
  <si>
    <t>Prepared by</t>
  </si>
  <si>
    <t>Approved by</t>
  </si>
  <si>
    <t>Legend:</t>
  </si>
  <si>
    <t>Pale blue = cells to complete / edit</t>
  </si>
  <si>
    <t>No.</t>
  </si>
  <si>
    <t>Exploratory hole name</t>
  </si>
  <si>
    <t>Hole type
code</t>
  </si>
  <si>
    <t>Priority</t>
  </si>
  <si>
    <t>Remarks</t>
  </si>
  <si>
    <t>BH</t>
  </si>
  <si>
    <t>DCPT</t>
  </si>
  <si>
    <t>CPT</t>
  </si>
  <si>
    <t>Summary</t>
  </si>
  <si>
    <t>Total holes scheduled</t>
  </si>
  <si>
    <t>Boreholes (BH)</t>
  </si>
  <si>
    <t>Downhole CPTs (DCPT)</t>
  </si>
  <si>
    <t>Seabed CPTs (CPT)</t>
  </si>
  <si>
    <t>Total target metres</t>
  </si>
  <si>
    <t>Exploratory Hole Schedule - completion guidance</t>
  </si>
  <si>
    <t>Purpose</t>
  </si>
  <si>
    <t>Completing the form</t>
  </si>
  <si>
    <t>1. Complete every pale-blue cell in the header block. The horizontal CRS must be stated as an EPSG code; coordinates are meaningless without it and geoCore will reject rows lacking a coordinate system.</t>
  </si>
  <si>
    <t>3. Exploratory hole name is the definitive planned name. The contractor must use it verbatim on field logs and in AGS deliverables (LOCA_ID). Hole number is the structured numeric part, kept as text to preserve leading zeros.</t>
  </si>
  <si>
    <t>4. Hole type code must be a valid geoCore reference.hole_type code - the cell is validated against the Reference sheet.</t>
  </si>
  <si>
    <t>5. Water depths are indicative, stated against the vertical datum in the header. Target and minimum acceptable depths are metres below seafloor (BSF).</t>
  </si>
  <si>
    <t>6. Priority: 1 = must complete; 2 = complete if schedule allows; 3 = contingency/alternate.</t>
  </si>
  <si>
    <t>Bumpovers and as-completed reporting</t>
  </si>
  <si>
    <t>Termination</t>
  </si>
  <si>
    <t>A hole is complete when it reaches target depth, or refusal below the minimum acceptable depth. Refusal criteria and any early-termination approvals are governed by the SI contract/specification, which takes precedence over this schedule in case of conflict.</t>
  </si>
  <si>
    <t>Revision control</t>
  </si>
  <si>
    <t>Each issue of this schedule increments the form revision (r01, r02...) and is re-approved. The revision in force at mobilisation is the contractual reference; superseded revisions must be clearly withdrawn.</t>
  </si>
  <si>
    <t>Hole type (reference.hole_type)</t>
  </si>
  <si>
    <t>Survey phase (reference.survey_phase)</t>
  </si>
  <si>
    <t>Depth reference (reference.depth_reference)</t>
  </si>
  <si>
    <t>EH</t>
  </si>
  <si>
    <t>Exploratory hole (composite)</t>
  </si>
  <si>
    <t>GTR</t>
  </si>
  <si>
    <t>Geotechnical reconnaissance</t>
  </si>
  <si>
    <t>1</t>
  </si>
  <si>
    <t>Primary - must complete</t>
  </si>
  <si>
    <t>BSF</t>
  </si>
  <si>
    <t>Below seafloor</t>
  </si>
  <si>
    <t>Borehole</t>
  </si>
  <si>
    <t>GTD</t>
  </si>
  <si>
    <t>Geotechnical detailed design</t>
  </si>
  <si>
    <t>2</t>
  </si>
  <si>
    <t>Secondary - complete if schedule allows</t>
  </si>
  <si>
    <t>GS</t>
  </si>
  <si>
    <t>Grab sample</t>
  </si>
  <si>
    <t>3</t>
  </si>
  <si>
    <t>Contingency / alternate position</t>
  </si>
  <si>
    <t>NP</t>
  </si>
  <si>
    <t>Needle probe</t>
  </si>
  <si>
    <t>Cone penetration test (seabed mode)</t>
  </si>
  <si>
    <t>Downhole CPT</t>
  </si>
  <si>
    <t>VC</t>
  </si>
  <si>
    <t>Vibrocore</t>
  </si>
  <si>
    <t>This sheet mirrors geoCore reference tables. Do not edit codes; extend only via a geoCore reference-data change.</t>
  </si>
  <si>
    <t>Geotechnical preliminary</t>
  </si>
  <si>
    <t>project.layout - state layout the cluster/asset refs are planned against, or 'N/A - preliminary/reconnaissance targets'</t>
  </si>
  <si>
    <t>N/A - preliminary targets</t>
  </si>
  <si>
    <t>JONWH</t>
  </si>
  <si>
    <t>Planned exploratory hole locations issued to the site investigation contractor. Feeds geoCore tables: geotech.site_investigation / geotech.exploratory_hole.</t>
  </si>
  <si>
    <t>Exploratory hole (composite) (EH)</t>
  </si>
  <si>
    <t>Grab sample (GS)</t>
  </si>
  <si>
    <t>Project code</t>
  </si>
  <si>
    <t>Project name</t>
  </si>
  <si>
    <t>project.project_name</t>
  </si>
  <si>
    <t>project.project_code</t>
  </si>
  <si>
    <t>State vertical datum</t>
  </si>
  <si>
    <t>Needle probe (NP)</t>
  </si>
  <si>
    <t>SCPT</t>
  </si>
  <si>
    <t>SDCPT</t>
  </si>
  <si>
    <t>Seismic cone penetration test (seabed mode)</t>
  </si>
  <si>
    <t>Downhole SCPT</t>
  </si>
  <si>
    <t>Seabed SCPTs (SCPT)</t>
  </si>
  <si>
    <t>Downhole SCPTs (SDCPT)</t>
  </si>
  <si>
    <t>This schedule communicates the planned exploratory hole locations, target depths and naming to the site investigation contractor before mobilisation. It is also a structured input to Ørsted's geoCore databse: the header block populates geotech.site_investigation and the table populates geotech.exploratory_hole (planned fields).</t>
  </si>
  <si>
    <t>2. One row per exploratory hole. Co-located holes of different types (e.g. a seabed CPT and a DCPT at the same cluster/asset location) get separate rows, consistent with one geotech.exploratory_hole record per hole.</t>
  </si>
  <si>
    <t>If a hole cannot be completed at the target position, relocated attempts are named by appending a lowercase letter (a, b, c...) to the planned name, e.g. HS_S_02_BHa. The contractor shall report as-completed coordinates for every hole (including bumpovers) in the same CRS as this schedule; these populate actual_easting_m / actual_northing_m fields in geoCore.</t>
  </si>
  <si>
    <t>yyyy-mm-dd</t>
  </si>
  <si>
    <t>r**</t>
  </si>
  <si>
    <t>Target
easting [m]</t>
  </si>
  <si>
    <t>Target
northing [m]</t>
  </si>
  <si>
    <t>Target depth
[m BSF]</t>
  </si>
  <si>
    <t>exploratory_hole.coordinate_system_id - see Appendix 3.F (GIS Manual) and 3.G (Project Reference System Document)</t>
  </si>
  <si>
    <t>OTHER</t>
  </si>
  <si>
    <t>Offshore Wind Farm 1</t>
  </si>
  <si>
    <t>OWF01</t>
  </si>
  <si>
    <t>Preliminary Geotechnical Site Investigation for OWF01</t>
  </si>
  <si>
    <t>ACME Drilling Ltd.</t>
  </si>
  <si>
    <t>EPSG:25831 (ETRS89 / UTM 31N)</t>
  </si>
  <si>
    <t>LAT</t>
  </si>
  <si>
    <t>Cluster / asset name</t>
  </si>
  <si>
    <t>CPT01</t>
  </si>
  <si>
    <t>Position context</t>
  </si>
  <si>
    <t>ASSET</t>
  </si>
  <si>
    <t>CLUSTER</t>
  </si>
  <si>
    <t>STANDALONE</t>
  </si>
  <si>
    <t>Hole sited at a physical OWF asset (via layout_asset or asset_location)</t>
  </si>
  <si>
    <t>Hole belonging to a geotechnical cluster location (geotech.cluster_location)</t>
  </si>
  <si>
    <t>Hole not tied to any asset or cluster (e.g. single seabed CPT in a GTL/GTP campaign)</t>
  </si>
  <si>
    <t>BH01</t>
  </si>
  <si>
    <t>Hole status</t>
  </si>
  <si>
    <t>SCHEDULED</t>
  </si>
  <si>
    <t>INPROGRESS</t>
  </si>
  <si>
    <t>COMPLETED</t>
  </si>
  <si>
    <t>ACCEPTED</t>
  </si>
  <si>
    <t>FAILED</t>
  </si>
  <si>
    <t>ABANDONED</t>
  </si>
  <si>
    <t>CANCELLED</t>
  </si>
  <si>
    <t>Planned position, not yet occupied by the vessel/rig</t>
  </si>
  <si>
    <t>Operations under way at the position</t>
  </si>
  <si>
    <t>Achieved target depth (or contractual acceptance criteria) as planned</t>
  </si>
  <si>
    <t>Terminated short of target depth but accepted by the project as complete; no bumpover required</t>
  </si>
  <si>
    <t>Terminated prematurely (early refusal, equipment failure, tool loss etc.) and not accepted; typically superseded by a bumpover</t>
  </si>
  <si>
    <t>Attempted or partially attempted, then abandoned by project decision; will not be completed or bumped over</t>
  </si>
  <si>
    <t>Removed from the schedule before any attempt was made</t>
  </si>
  <si>
    <t>Start date [yyyymmdd]</t>
  </si>
  <si>
    <t>End date [yyyymmdd]</t>
  </si>
  <si>
    <t>Final depth
[m BSF]</t>
  </si>
  <si>
    <t>Termination reason</t>
  </si>
  <si>
    <t>TARGET</t>
  </si>
  <si>
    <t>REFUSAL</t>
  </si>
  <si>
    <t>EQUIPMENT</t>
  </si>
  <si>
    <t>WEATHER</t>
  </si>
  <si>
    <t>PROJECT</t>
  </si>
  <si>
    <t>Terminated at target depth</t>
  </si>
  <si>
    <t>Refusal above target depth (e.g. cone refusal, spudcan/hard stratum)</t>
  </si>
  <si>
    <t>Tool, rig or vessel equipment failure</t>
  </si>
  <si>
    <t>Terminated due to weather or operational downtime</t>
  </si>
  <si>
    <t>Terminated or abandoned by project/client instruction</t>
  </si>
  <si>
    <t>Other reason; see remarks</t>
  </si>
  <si>
    <t>CPT03</t>
  </si>
  <si>
    <t>CPT02</t>
  </si>
  <si>
    <t>CPT04</t>
  </si>
  <si>
    <t>As-installed
northing [m]</t>
  </si>
  <si>
    <t>As-installed
easting [m]</t>
  </si>
  <si>
    <t>Scheduled</t>
  </si>
  <si>
    <t>Completed</t>
  </si>
  <si>
    <t>Precentage</t>
  </si>
  <si>
    <t>SCPT01</t>
  </si>
  <si>
    <t>Water depth [m relative to vertical datum]</t>
  </si>
  <si>
    <t>CPT01a</t>
  </si>
  <si>
    <t>r02</t>
  </si>
  <si>
    <t>Broken umbilical cord</t>
  </si>
  <si>
    <t>Bumpover label</t>
  </si>
  <si>
    <t>a</t>
  </si>
  <si>
    <t>b</t>
  </si>
  <si>
    <t>c</t>
  </si>
  <si>
    <t>d</t>
  </si>
  <si>
    <t>e</t>
  </si>
  <si>
    <t>f</t>
  </si>
  <si>
    <t>First bumpover attempt</t>
  </si>
  <si>
    <t xml:space="preserve">Second bumpover attempt </t>
  </si>
  <si>
    <t>Third bumpover attempt</t>
  </si>
  <si>
    <t>Fourth bumpover attempt</t>
  </si>
  <si>
    <t>Fifth bumpover attempt</t>
  </si>
  <si>
    <t>Sixth bumpover attempt</t>
  </si>
  <si>
    <t>Bumpover parent hole</t>
  </si>
  <si>
    <t>Notes</t>
  </si>
  <si>
    <t>Bumpover positions not included in scheduled count</t>
  </si>
  <si>
    <t>Only meterage from holes with status: COMPLETED or ACCEPTED is counted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</si>
</sst>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charset val="1"/>
    </font>
    <font>
      <b/>
      <sz val="9"/>
      <color rgb="FF3F4D5C"/>
      <name val="Arial"/>
      <family val="2"/>
    </font>
    <font>
      <sz val="9"/>
      <color rgb="FF000000"/>
      <name val="Arial"/>
      <family val="2"/>
    </font>
    <font>
      <i/>
      <sz val="8"/>
      <color rgb="FF3F4D5C"/>
      <name val="Arial"/>
      <family val="2"/>
    </font>
    <font>
      <b/>
      <sz val="13"/>
      <color rgb="FF3F4D5C"/>
      <name val="Arial"/>
      <family val="2"/>
    </font>
    <font>
      <sz val="9"/>
      <color rgb="FF333333"/>
      <name val="Arial"/>
      <family val="2"/>
    </font>
    <font>
      <b/>
      <sz val="10"/>
      <color rgb="FF2E9BD6"/>
      <name val="Arial"/>
      <family val="2"/>
    </font>
    <font>
      <sz val="8"/>
      <color theme="1"/>
      <name val="Calibri"/>
      <family val="2"/>
      <charset val="1"/>
    </font>
    <font>
      <sz val="8"/>
      <color rgb="FF3F4D5C"/>
      <name val="Arial"/>
      <family val="2"/>
    </font>
    <font>
      <b/>
      <sz val="8"/>
      <color rgb="FF3F4D5C"/>
      <name val="Arial"/>
      <family val="2"/>
    </font>
    <font>
      <sz val="8"/>
      <color rgb="FF000000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charset val="1"/>
    </font>
    <font>
      <b/>
      <sz val="7"/>
      <color rgb="FFFFFFFF"/>
      <name val="Arial"/>
      <family val="2"/>
    </font>
    <font>
      <sz val="7"/>
      <color theme="1"/>
      <name val="Calibri"/>
      <family val="2"/>
      <charset val="1"/>
    </font>
    <font>
      <sz val="7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F4D5C"/>
        <bgColor rgb="FF333333"/>
      </patternFill>
    </fill>
    <fill>
      <patternFill patternType="solid">
        <fgColor rgb="FFF2F4F6"/>
        <bgColor rgb="FFFFFFFF"/>
      </patternFill>
    </fill>
    <fill>
      <patternFill patternType="solid">
        <fgColor rgb="FFCFE5F2"/>
        <bgColor rgb="FFCCFFFF"/>
      </patternFill>
    </fill>
    <fill>
      <patternFill patternType="solid">
        <fgColor rgb="FF2E9BD6"/>
        <bgColor rgb="FF33CCCC"/>
      </patternFill>
    </fill>
  </fills>
  <borders count="5">
    <border>
      <left/>
      <right/>
      <top/>
      <bottom/>
      <diagonal/>
    </border>
    <border>
      <left style="thin">
        <color rgb="FFB0B8BF"/>
      </left>
      <right/>
      <top style="thin">
        <color rgb="FFB0B8BF"/>
      </top>
      <bottom style="thin">
        <color rgb="FFB0B8BF"/>
      </bottom>
      <diagonal/>
    </border>
    <border>
      <left style="thin">
        <color rgb="FFB0B8BF"/>
      </left>
      <right style="thin">
        <color rgb="FFB0B8BF"/>
      </right>
      <top style="thin">
        <color rgb="FFB0B8BF"/>
      </top>
      <bottom style="thin">
        <color rgb="FFB0B8BF"/>
      </bottom>
      <diagonal/>
    </border>
    <border>
      <left/>
      <right/>
      <top style="thin">
        <color rgb="FFB0B8BF"/>
      </top>
      <bottom style="thin">
        <color rgb="FFB0B8BF"/>
      </bottom>
      <diagonal/>
    </border>
    <border>
      <left/>
      <right style="thin">
        <color rgb="FFB0B8BF"/>
      </right>
      <top style="thin">
        <color rgb="FFB0B8BF"/>
      </top>
      <bottom style="thin">
        <color rgb="FFB0B8BF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2" fillId="3" borderId="2" xfId="0" applyFont="1" applyFill="1" applyBorder="1"/>
    <xf numFmtId="0" fontId="2" fillId="0" borderId="2" xfId="0" applyFont="1" applyBorder="1"/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7" fillId="4" borderId="2" xfId="0" applyFont="1" applyFill="1" applyBorder="1" applyAlignment="1">
      <alignment horizontal="left"/>
    </xf>
    <xf numFmtId="0" fontId="11" fillId="0" borderId="2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164" fontId="11" fillId="0" borderId="2" xfId="0" applyNumberFormat="1" applyFont="1" applyBorder="1" applyAlignment="1">
      <alignment horizontal="left" vertical="center"/>
    </xf>
    <xf numFmtId="4" fontId="7" fillId="0" borderId="0" xfId="0" applyNumberFormat="1" applyFont="1" applyAlignment="1">
      <alignment horizontal="left"/>
    </xf>
    <xf numFmtId="0" fontId="10" fillId="3" borderId="3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9" fontId="11" fillId="0" borderId="2" xfId="1" applyFont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13" fillId="5" borderId="2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1" fontId="15" fillId="0" borderId="2" xfId="0" applyNumberFormat="1" applyFont="1" applyBorder="1" applyAlignment="1">
      <alignment horizontal="left" vertical="center"/>
    </xf>
    <xf numFmtId="164" fontId="15" fillId="0" borderId="2" xfId="0" applyNumberFormat="1" applyFont="1" applyBorder="1" applyAlignment="1">
      <alignment horizontal="left" vertical="center"/>
    </xf>
    <xf numFmtId="2" fontId="15" fillId="0" borderId="2" xfId="0" applyNumberFormat="1" applyFont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/>
    </xf>
    <xf numFmtId="1" fontId="15" fillId="3" borderId="2" xfId="0" applyNumberFormat="1" applyFont="1" applyFill="1" applyBorder="1" applyAlignment="1">
      <alignment horizontal="left" vertical="center"/>
    </xf>
    <xf numFmtId="164" fontId="15" fillId="3" borderId="2" xfId="0" applyNumberFormat="1" applyFont="1" applyFill="1" applyBorder="1" applyAlignment="1">
      <alignment horizontal="left" vertical="center"/>
    </xf>
    <xf numFmtId="2" fontId="15" fillId="3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14" fontId="10" fillId="4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BF"/>
      <rgbColor rgb="FF808080"/>
      <rgbColor rgb="FF9999FF"/>
      <rgbColor rgb="FF993366"/>
      <rgbColor rgb="FFF2F4F6"/>
      <rgbColor rgb="FFCCFFFF"/>
      <rgbColor rgb="FF660066"/>
      <rgbColor rgb="FFFF8080"/>
      <rgbColor rgb="FF0066CC"/>
      <rgbColor rgb="FFCFE5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C06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9BD6"/>
      <rgbColor rgb="FF003300"/>
      <rgbColor rgb="FF333300"/>
      <rgbColor rgb="FF993300"/>
      <rgbColor rgb="FF993366"/>
      <rgbColor rgb="FF3F4D5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4"/>
  <sheetViews>
    <sheetView showGridLines="0" tabSelected="1" view="pageLayout" topLeftCell="F1" zoomScale="160" zoomScaleNormal="175" zoomScaleSheetLayoutView="115" zoomScalePageLayoutView="160" workbookViewId="0">
      <selection activeCell="Q6" sqref="Q6:Q13"/>
    </sheetView>
  </sheetViews>
  <sheetFormatPr defaultColWidth="4.140625" defaultRowHeight="9" x14ac:dyDescent="0.15"/>
  <cols>
    <col min="1" max="1" width="2.7109375" style="18" customWidth="1"/>
    <col min="2" max="2" width="9" style="18" customWidth="1"/>
    <col min="3" max="3" width="12.7109375" style="18" customWidth="1"/>
    <col min="4" max="4" width="6.85546875" style="18" customWidth="1"/>
    <col min="5" max="6" width="8" style="18" customWidth="1"/>
    <col min="7" max="7" width="9.7109375" style="18" customWidth="1"/>
    <col min="8" max="8" width="5.7109375" style="18" customWidth="1"/>
    <col min="9" max="9" width="5.28515625" style="18" customWidth="1"/>
    <col min="10" max="10" width="9.140625" style="18" customWidth="1"/>
    <col min="11" max="11" width="9.28515625" style="18" customWidth="1"/>
    <col min="12" max="13" width="7.42578125" style="18" customWidth="1"/>
    <col min="14" max="15" width="8.5703125" style="18" customWidth="1"/>
    <col min="16" max="16" width="6.140625" style="18" customWidth="1"/>
    <col min="17" max="17" width="8" style="18" customWidth="1"/>
    <col min="18" max="18" width="7.5703125" style="18" customWidth="1"/>
    <col min="19" max="19" width="7.140625" style="18" customWidth="1"/>
    <col min="20" max="20" width="58.28515625" style="18" customWidth="1"/>
    <col min="21" max="16384" width="4.140625" style="18"/>
  </cols>
  <sheetData>
    <row r="1" spans="1:29" ht="25.5" customHeight="1" x14ac:dyDescent="0.1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29" s="8" customFormat="1" ht="11.25" x14ac:dyDescent="0.2">
      <c r="A2" s="31" t="s">
        <v>84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29" s="8" customFormat="1" ht="11.25" x14ac:dyDescent="0.2">
      <c r="M3" s="9" t="s">
        <v>34</v>
      </c>
      <c r="P3" s="9" t="s">
        <v>160</v>
      </c>
      <c r="Q3" s="9" t="s">
        <v>161</v>
      </c>
      <c r="R3" s="9" t="s">
        <v>162</v>
      </c>
      <c r="S3" s="9" t="s">
        <v>182</v>
      </c>
    </row>
    <row r="4" spans="1:29" s="8" customFormat="1" ht="11.25" x14ac:dyDescent="0.2">
      <c r="A4" s="32" t="s">
        <v>88</v>
      </c>
      <c r="B4" s="32"/>
      <c r="C4" s="32"/>
      <c r="D4" s="33" t="s">
        <v>109</v>
      </c>
      <c r="E4" s="33"/>
      <c r="F4" s="33"/>
      <c r="G4" s="33"/>
      <c r="H4" s="34" t="s">
        <v>89</v>
      </c>
      <c r="I4" s="34"/>
      <c r="J4" s="34"/>
      <c r="K4" s="34"/>
      <c r="M4" s="12" t="s">
        <v>35</v>
      </c>
      <c r="N4" s="15"/>
      <c r="O4" s="16"/>
      <c r="P4" s="11">
        <f>COUNTIFS(C23:C1000,"&lt;&gt;",R23:R1000,"",S23:S1000,"")</f>
        <v>6</v>
      </c>
      <c r="Q4" s="11" cm="1">
        <f t="array" ref="Q4">SUMPRODUCT( (R23:R1000="")*(S23:S1000="")* ( ((K23:K1000="COMPLETED")+(K23:K1000="ACCEPTED")+(K23:K1000="CANCELLED")&gt;0) + ((COUNTIFS($S$23:$S$1000,C23:C1000,$K$23:$K$1000,"COMPLETED")+COUNTIFS($S$23:$S$1000,C23:C1000,$K$23:$K$1000,"ACCEPTED")+COUNTIFS($S$23:$S$1000,C23:C1000,$K$23:$K$1000,"CANCELLED"))&gt;0) &gt;0) )</f>
        <v>4</v>
      </c>
      <c r="R4" s="17">
        <f>IF(P4=0,NA(),Q4/P4)</f>
        <v>0.66666666666666663</v>
      </c>
      <c r="S4" s="30" t="s">
        <v>183</v>
      </c>
    </row>
    <row r="5" spans="1:29" s="8" customFormat="1" ht="11.25" x14ac:dyDescent="0.2">
      <c r="A5" s="32" t="s">
        <v>87</v>
      </c>
      <c r="B5" s="32"/>
      <c r="C5" s="32"/>
      <c r="D5" s="33" t="s">
        <v>110</v>
      </c>
      <c r="E5" s="33"/>
      <c r="F5" s="33"/>
      <c r="G5" s="33"/>
      <c r="H5" s="28" t="s">
        <v>90</v>
      </c>
      <c r="I5" s="28"/>
      <c r="J5" s="28"/>
      <c r="K5" s="28"/>
      <c r="M5" s="12" t="s">
        <v>39</v>
      </c>
      <c r="N5" s="15"/>
      <c r="O5" s="16"/>
      <c r="P5" s="13">
        <f>SUMIFS(H23:H1000,R23:R1000,"",S23:S1000,"")</f>
        <v>200</v>
      </c>
      <c r="Q5" s="13" cm="1">
        <f t="array" ref="Q5">SUMPRODUCT( (R23:R1000="")*(S23:S1000="")* IF( (K23:K1000="COMPLETED")+(K23:K1000="ACCEPTED")+(K23:K1000="CANCELLED")&gt;0, P23:P1000, IF( (COUNTIFS($S$23:$S$1000,C23:C1000,$K$23:$K$1000,"COMPLETED")+COUNTIFS($S$23:$S$1000,C23:C1000,$K$23:$K$1000,"ACCEPTED")+COUNTIFS($S$23:$S$1000,C23:C1000,$K$23:$K$1000,"CANCELLED"))&gt;0, _xlfn.MAXIFS($P$23:$P$1000,$S$23:$S$1000,C23:C1000,$K$23:$K$1000,"COMPLETED")+_xlfn.MAXIFS($P$23:$P$1000,$S$23:$S$1000,C23:C1000,$K$23:$K$1000,"ACCEPTED")+_xlfn.MAXIFS($P$23:$P$1000,$S$23:$S$1000,C23:C1000,$K$23:$K$1000,"CANCELLED"), 0 ) ) )</f>
        <v>118.7</v>
      </c>
      <c r="R5" s="17">
        <f t="shared" ref="R5:R13" si="0">IF(P5=0,NA(),Q5/P5)</f>
        <v>0.59350000000000003</v>
      </c>
      <c r="S5" s="30" t="s">
        <v>184</v>
      </c>
    </row>
    <row r="6" spans="1:29" s="8" customFormat="1" ht="11.25" x14ac:dyDescent="0.2">
      <c r="A6" s="32" t="s">
        <v>1</v>
      </c>
      <c r="B6" s="32"/>
      <c r="C6" s="32"/>
      <c r="D6" s="33" t="s">
        <v>111</v>
      </c>
      <c r="E6" s="33"/>
      <c r="F6" s="33"/>
      <c r="G6" s="33"/>
      <c r="H6" s="34" t="s">
        <v>2</v>
      </c>
      <c r="I6" s="34"/>
      <c r="J6" s="34"/>
      <c r="K6" s="34"/>
      <c r="M6" s="12" t="s">
        <v>85</v>
      </c>
      <c r="N6" s="15"/>
      <c r="O6" s="16"/>
      <c r="P6" s="11">
        <f>COUNTIFS(D23:D1000,"EH",R23:R1000,"",S23:S1000,"")</f>
        <v>0</v>
      </c>
      <c r="Q6" s="11" cm="1">
        <f t="array" ref="Q6">SUMPRODUCT((R23:R1000="")*(S23:S1000="")*(D23:D1000="EH")*(((K23:K1000="COMPLETED")+(K23:K1000="ACCEPTED")&gt;0)+((COUNTIFS($S$23:$S$1000,C23:C1000,$K$23:$K$1000,"COMPLETED")+COUNTIFS($S$23:$S$1000,C23:C1000,$K$23:$K$1000,"ACCEPTED"))&gt;0)&gt;0))</f>
        <v>0</v>
      </c>
      <c r="R6" s="17" t="e">
        <f t="shared" si="0"/>
        <v>#N/A</v>
      </c>
    </row>
    <row r="7" spans="1:29" s="8" customFormat="1" ht="11.25" x14ac:dyDescent="0.2">
      <c r="A7" s="32" t="s">
        <v>3</v>
      </c>
      <c r="B7" s="32"/>
      <c r="C7" s="32"/>
      <c r="D7" s="33" t="s">
        <v>4</v>
      </c>
      <c r="E7" s="33"/>
      <c r="F7" s="33"/>
      <c r="G7" s="33"/>
      <c r="H7" s="34" t="s">
        <v>5</v>
      </c>
      <c r="I7" s="34"/>
      <c r="J7" s="34"/>
      <c r="K7" s="34"/>
      <c r="M7" s="12" t="s">
        <v>36</v>
      </c>
      <c r="N7" s="15"/>
      <c r="O7" s="16"/>
      <c r="P7" s="11">
        <f>COUNTIFS(D23:D1000,"BH",R23:R1000,"",S23:S1000,"")</f>
        <v>1</v>
      </c>
      <c r="Q7" s="11" cm="1">
        <f t="array" ref="Q7">SUMPRODUCT((R23:R1000="")*(S23:S1000="")*(D23:D1000="BH")*(((K23:K1000="COMPLETED")+(K23:K1000="ACCEPTED")&gt;0)+((COUNTIFS($S$23:$S$1000,C23:C1000,$K$23:$K$1000,"COMPLETED")+COUNTIFS($S$23:$S$1000,C23:C1000,$K$23:$K$1000,"ACCEPTED"))&gt;0)&gt;0))</f>
        <v>0</v>
      </c>
      <c r="R7" s="17">
        <f t="shared" si="0"/>
        <v>0</v>
      </c>
    </row>
    <row r="8" spans="1:29" s="8" customFormat="1" ht="11.25" x14ac:dyDescent="0.2">
      <c r="A8" s="32" t="s">
        <v>6</v>
      </c>
      <c r="B8" s="32"/>
      <c r="C8" s="32"/>
      <c r="D8" s="33" t="s">
        <v>112</v>
      </c>
      <c r="E8" s="33"/>
      <c r="F8" s="33"/>
      <c r="G8" s="33"/>
      <c r="H8" s="34" t="s">
        <v>7</v>
      </c>
      <c r="I8" s="34"/>
      <c r="J8" s="34"/>
      <c r="K8" s="34"/>
      <c r="M8" s="12" t="s">
        <v>86</v>
      </c>
      <c r="N8" s="15"/>
      <c r="O8" s="16"/>
      <c r="P8" s="11">
        <f>COUNTIFS(D23:D1000,"GS",R23:R1000,"",S23:S1000,"")</f>
        <v>0</v>
      </c>
      <c r="Q8" s="11" cm="1">
        <f t="array" ref="Q8">SUMPRODUCT((R23:R1000="")*(S23:S1000="")*(D23:D1000="GS")*(((K23:K1000="COMPLETED")+(K23:K1000="ACCEPTED")&gt;0)+((COUNTIFS($S$23:$S$1000,C23:C1000,$K$23:$K$1000,"COMPLETED")+COUNTIFS($S$23:$S$1000,C23:C1000,$K$23:$K$1000,"ACCEPTED"))&gt;0)&gt;0))</f>
        <v>0</v>
      </c>
      <c r="R8" s="17" t="e">
        <f t="shared" si="0"/>
        <v>#N/A</v>
      </c>
    </row>
    <row r="9" spans="1:29" s="8" customFormat="1" ht="11.25" x14ac:dyDescent="0.2">
      <c r="A9" s="32" t="s">
        <v>8</v>
      </c>
      <c r="B9" s="32"/>
      <c r="C9" s="32"/>
      <c r="D9" s="33" t="s">
        <v>82</v>
      </c>
      <c r="E9" s="33"/>
      <c r="F9" s="33"/>
      <c r="G9" s="33"/>
      <c r="H9" s="34" t="s">
        <v>81</v>
      </c>
      <c r="I9" s="34"/>
      <c r="J9" s="34"/>
      <c r="K9" s="34"/>
      <c r="M9" s="12" t="s">
        <v>92</v>
      </c>
      <c r="N9" s="15"/>
      <c r="O9" s="16"/>
      <c r="P9" s="11">
        <f>COUNTIFS(D23:D1000,"NP",R23:R1000,"",S23:S1000,"")</f>
        <v>0</v>
      </c>
      <c r="Q9" s="11" cm="1">
        <f t="array" ref="Q9">SUMPRODUCT((R23:R1000="")*(S23:S1000="")*(D23:D1000="NP")*(((K23:K1000="COMPLETED")+(K23:K1000="ACCEPTED")&gt;0)+((COUNTIFS($S$23:$S$1000,C23:C1000,$K$23:$K$1000,"COMPLETED")+COUNTIFS($S$23:$S$1000,C23:C1000,$K$23:$K$1000,"ACCEPTED"))&gt;0)&gt;0))</f>
        <v>0</v>
      </c>
      <c r="R9" s="17" t="e">
        <f t="shared" si="0"/>
        <v>#N/A</v>
      </c>
    </row>
    <row r="10" spans="1:29" s="8" customFormat="1" ht="11.25" x14ac:dyDescent="0.2">
      <c r="A10" s="32" t="s">
        <v>9</v>
      </c>
      <c r="B10" s="32"/>
      <c r="C10" s="32"/>
      <c r="D10" s="33" t="s">
        <v>113</v>
      </c>
      <c r="E10" s="33"/>
      <c r="F10" s="33"/>
      <c r="G10" s="33"/>
      <c r="H10" s="34" t="s">
        <v>107</v>
      </c>
      <c r="I10" s="34"/>
      <c r="J10" s="34"/>
      <c r="K10" s="34"/>
      <c r="M10" s="12" t="s">
        <v>38</v>
      </c>
      <c r="N10" s="15"/>
      <c r="O10" s="16"/>
      <c r="P10" s="11">
        <f>COUNTIFS(D23:D1000,"CPT",R23:R1000,"",S23:S1000,"")</f>
        <v>4</v>
      </c>
      <c r="Q10" s="11" cm="1">
        <f t="array" ref="Q10">SUMPRODUCT((R23:R1000="")*(S23:S1000="")*(D23:D1000="CPT")*(((K23:K1000="COMPLETED")+(K23:K1000="ACCEPTED")&gt;0)+((COUNTIFS($S$23:$S$1000,C23:C1000,$K$23:$K$1000,"COMPLETED")+COUNTIFS($S$23:$S$1000,C23:C1000,$K$23:$K$1000,"ACCEPTED"))&gt;0)&gt;0))</f>
        <v>4</v>
      </c>
      <c r="R10" s="17">
        <f t="shared" si="0"/>
        <v>1</v>
      </c>
    </row>
    <row r="11" spans="1:29" s="8" customFormat="1" ht="11.25" x14ac:dyDescent="0.2">
      <c r="A11" s="32" t="s">
        <v>10</v>
      </c>
      <c r="B11" s="32"/>
      <c r="C11" s="32"/>
      <c r="D11" s="33" t="s">
        <v>114</v>
      </c>
      <c r="E11" s="33"/>
      <c r="F11" s="33"/>
      <c r="G11" s="33"/>
      <c r="H11" s="34" t="s">
        <v>91</v>
      </c>
      <c r="I11" s="34"/>
      <c r="J11" s="34"/>
      <c r="K11" s="34"/>
      <c r="M11" s="12" t="s">
        <v>37</v>
      </c>
      <c r="N11" s="15"/>
      <c r="O11" s="16"/>
      <c r="P11" s="11">
        <f>COUNTIFS(D23:D1000,"DCPT",R23:R1000,"",S23:S1000,"")</f>
        <v>0</v>
      </c>
      <c r="Q11" s="11" cm="1">
        <f t="array" ref="Q11">SUMPRODUCT((R23:R1000="")*(S23:S1000="")*(D23:D1000="DCPT")*(((K23:K1000="COMPLETED")+(K23:K1000="ACCEPTED")&gt;0)+((COUNTIFS($S$23:$S$1000,C23:C1000,$K$23:$K$1000,"COMPLETED")+COUNTIFS($S$23:$S$1000,C23:C1000,$K$23:$K$1000,"ACCEPTED"))&gt;0)&gt;0))</f>
        <v>0</v>
      </c>
      <c r="R11" s="17" t="e">
        <f t="shared" si="0"/>
        <v>#N/A</v>
      </c>
    </row>
    <row r="12" spans="1:29" s="8" customFormat="1" ht="11.25" x14ac:dyDescent="0.2">
      <c r="A12" s="32" t="s">
        <v>11</v>
      </c>
      <c r="B12" s="32"/>
      <c r="C12" s="32"/>
      <c r="D12" s="33" t="s">
        <v>12</v>
      </c>
      <c r="E12" s="33"/>
      <c r="F12" s="33"/>
      <c r="G12" s="33"/>
      <c r="H12" s="34" t="s">
        <v>13</v>
      </c>
      <c r="I12" s="34"/>
      <c r="J12" s="34"/>
      <c r="K12" s="34"/>
      <c r="M12" s="12" t="s">
        <v>97</v>
      </c>
      <c r="N12" s="15"/>
      <c r="O12" s="16"/>
      <c r="P12" s="11">
        <f>COUNTIFS(D23:D1000,"SCPT",R23:R1000,"",S23:S1000,"")</f>
        <v>1</v>
      </c>
      <c r="Q12" s="11" cm="1">
        <f t="array" ref="Q12">SUMPRODUCT((R23:R1000="")*(S23:S1000="")*(D23:D1000="SCPT")*(((K23:K1000="COMPLETED")+(K23:K1000="ACCEPTED")&gt;0)+((COUNTIFS($S$23:$S$1000,C23:C1000,$K$23:$K$1000,"COMPLETED")+COUNTIFS($S$23:$S$1000,C23:C1000,$K$23:$K$1000,"ACCEPTED"))&gt;0)&gt;0))</f>
        <v>0</v>
      </c>
      <c r="R12" s="17">
        <f t="shared" si="0"/>
        <v>0</v>
      </c>
    </row>
    <row r="13" spans="1:29" s="8" customFormat="1" ht="11.25" x14ac:dyDescent="0.2">
      <c r="A13" s="32" t="s">
        <v>14</v>
      </c>
      <c r="B13" s="32"/>
      <c r="C13" s="32"/>
      <c r="D13" s="33" t="s">
        <v>15</v>
      </c>
      <c r="E13" s="33"/>
      <c r="F13" s="33"/>
      <c r="G13" s="33"/>
      <c r="H13" s="34" t="s">
        <v>16</v>
      </c>
      <c r="I13" s="34"/>
      <c r="J13" s="34"/>
      <c r="K13" s="34"/>
      <c r="M13" s="38" t="s">
        <v>98</v>
      </c>
      <c r="N13" s="38"/>
      <c r="O13" s="38"/>
      <c r="P13" s="11">
        <f>COUNTIFS(D23:D1000,"SDCPT",R23:R1000,"",S23:S1000,"")</f>
        <v>0</v>
      </c>
      <c r="Q13" s="11" cm="1">
        <f t="array" ref="Q13">SUMPRODUCT((R23:R1000="")*(S23:S1000="")*(D23:D1000="SDCPT")*(((K23:K1000="COMPLETED")+(K23:K1000="ACCEPTED")&gt;0)+((COUNTIFS($S$23:$S$1000,C23:C1000,$K$23:$K$1000,"COMPLETED")+COUNTIFS($S$23:$S$1000,C23:C1000,$K$23:$K$1000,"ACCEPTED"))&gt;0)&gt;0))</f>
        <v>0</v>
      </c>
      <c r="R13" s="17" t="e">
        <f t="shared" si="0"/>
        <v>#N/A</v>
      </c>
    </row>
    <row r="14" spans="1:29" s="8" customFormat="1" ht="11.25" x14ac:dyDescent="0.2">
      <c r="A14" s="32" t="s">
        <v>17</v>
      </c>
      <c r="B14" s="32"/>
      <c r="C14" s="32"/>
      <c r="D14" s="33" t="s">
        <v>18</v>
      </c>
      <c r="E14" s="33"/>
      <c r="F14" s="33"/>
      <c r="G14" s="33"/>
      <c r="H14" s="34" t="s">
        <v>19</v>
      </c>
      <c r="I14" s="34"/>
      <c r="J14" s="34"/>
      <c r="K14" s="34"/>
      <c r="AB14" s="14"/>
      <c r="AC14" s="14"/>
    </row>
    <row r="15" spans="1:29" s="8" customFormat="1" ht="11.25" x14ac:dyDescent="0.2">
      <c r="A15" s="32" t="s">
        <v>20</v>
      </c>
      <c r="B15" s="32"/>
      <c r="C15" s="32"/>
      <c r="D15" s="33" t="s">
        <v>166</v>
      </c>
      <c r="E15" s="33"/>
      <c r="F15" s="33"/>
      <c r="G15" s="33"/>
      <c r="H15" s="34" t="s">
        <v>103</v>
      </c>
      <c r="I15" s="34"/>
      <c r="J15" s="34"/>
      <c r="K15" s="34"/>
      <c r="AB15" s="14"/>
      <c r="AC15" s="14"/>
    </row>
    <row r="16" spans="1:29" s="8" customFormat="1" ht="11.25" x14ac:dyDescent="0.2">
      <c r="A16" s="32" t="s">
        <v>21</v>
      </c>
      <c r="B16" s="32"/>
      <c r="C16" s="32"/>
      <c r="D16" s="37">
        <v>46220</v>
      </c>
      <c r="E16" s="33"/>
      <c r="F16" s="33"/>
      <c r="G16" s="33"/>
      <c r="H16" s="34" t="s">
        <v>102</v>
      </c>
      <c r="I16" s="34"/>
      <c r="J16" s="34"/>
      <c r="K16" s="34"/>
      <c r="AB16" s="14"/>
      <c r="AC16" s="14"/>
    </row>
    <row r="17" spans="1:29" s="8" customFormat="1" ht="11.25" x14ac:dyDescent="0.2">
      <c r="A17" s="32" t="s">
        <v>22</v>
      </c>
      <c r="B17" s="32"/>
      <c r="C17" s="32"/>
      <c r="D17" s="33" t="s">
        <v>83</v>
      </c>
      <c r="E17" s="33"/>
      <c r="F17" s="33"/>
      <c r="G17" s="33"/>
      <c r="H17" s="34"/>
      <c r="I17" s="34"/>
      <c r="J17" s="34"/>
      <c r="K17" s="34"/>
      <c r="AB17" s="14"/>
      <c r="AC17" s="14"/>
    </row>
    <row r="18" spans="1:29" s="8" customFormat="1" ht="11.25" x14ac:dyDescent="0.2">
      <c r="A18" s="32" t="s">
        <v>23</v>
      </c>
      <c r="B18" s="32"/>
      <c r="C18" s="32"/>
      <c r="D18" s="33" t="s">
        <v>108</v>
      </c>
      <c r="E18" s="33"/>
      <c r="F18" s="33"/>
      <c r="G18" s="33"/>
      <c r="H18" s="34"/>
      <c r="I18" s="34"/>
      <c r="J18" s="34"/>
      <c r="K18" s="34"/>
      <c r="AB18" s="14"/>
      <c r="AC18" s="14"/>
    </row>
    <row r="19" spans="1:29" s="8" customFormat="1" ht="11.25" x14ac:dyDescent="0.2">
      <c r="AB19" s="14"/>
      <c r="AC19" s="14"/>
    </row>
    <row r="20" spans="1:29" s="8" customFormat="1" ht="11.25" x14ac:dyDescent="0.2">
      <c r="A20" s="9" t="s">
        <v>24</v>
      </c>
      <c r="C20" s="10"/>
      <c r="D20" s="29" t="s">
        <v>25</v>
      </c>
      <c r="E20" s="29"/>
      <c r="F20" s="29"/>
      <c r="G20" s="29"/>
      <c r="H20" s="36"/>
      <c r="I20" s="36"/>
      <c r="J20" s="36"/>
      <c r="K20" s="36"/>
    </row>
    <row r="22" spans="1:29" ht="34.5" customHeight="1" x14ac:dyDescent="0.15">
      <c r="A22" s="19" t="s">
        <v>26</v>
      </c>
      <c r="B22" s="19" t="s">
        <v>115</v>
      </c>
      <c r="C22" s="19" t="s">
        <v>27</v>
      </c>
      <c r="D22" s="19" t="s">
        <v>28</v>
      </c>
      <c r="E22" s="19" t="s">
        <v>104</v>
      </c>
      <c r="F22" s="19" t="s">
        <v>105</v>
      </c>
      <c r="G22" s="19" t="s">
        <v>164</v>
      </c>
      <c r="H22" s="19" t="s">
        <v>106</v>
      </c>
      <c r="I22" s="19" t="s">
        <v>29</v>
      </c>
      <c r="J22" s="19" t="s">
        <v>117</v>
      </c>
      <c r="K22" s="19" t="s">
        <v>125</v>
      </c>
      <c r="L22" s="19" t="s">
        <v>140</v>
      </c>
      <c r="M22" s="19" t="s">
        <v>141</v>
      </c>
      <c r="N22" s="19" t="s">
        <v>159</v>
      </c>
      <c r="O22" s="19" t="s">
        <v>158</v>
      </c>
      <c r="P22" s="19" t="s">
        <v>142</v>
      </c>
      <c r="Q22" s="19" t="s">
        <v>143</v>
      </c>
      <c r="R22" s="19" t="s">
        <v>168</v>
      </c>
      <c r="S22" s="19" t="s">
        <v>181</v>
      </c>
      <c r="T22" s="19" t="s">
        <v>30</v>
      </c>
    </row>
    <row r="23" spans="1:29" x14ac:dyDescent="0.15">
      <c r="A23" s="20">
        <v>1</v>
      </c>
      <c r="B23" s="20"/>
      <c r="C23" s="20" t="s">
        <v>116</v>
      </c>
      <c r="D23" s="20" t="s">
        <v>33</v>
      </c>
      <c r="E23" s="21">
        <v>494500</v>
      </c>
      <c r="F23" s="21">
        <v>6154500</v>
      </c>
      <c r="G23" s="22">
        <v>25</v>
      </c>
      <c r="H23" s="22">
        <v>30</v>
      </c>
      <c r="I23" s="20">
        <v>1</v>
      </c>
      <c r="J23" s="20" t="s">
        <v>120</v>
      </c>
      <c r="K23" s="20" t="s">
        <v>130</v>
      </c>
      <c r="L23" s="20">
        <v>20260716</v>
      </c>
      <c r="M23" s="20">
        <v>20260716</v>
      </c>
      <c r="N23" s="23">
        <f ca="1">ROUND(E23 + IF(RAND()&lt;0.5, -1, 1) * ((RAND()*2.9)+0.1), 2)</f>
        <v>494501.43</v>
      </c>
      <c r="O23" s="23">
        <f ca="1">ROUND(F23 + IF(RAND()&lt;0.5, -1, 1) * ((RAND()*2.9)+0.1), 2)</f>
        <v>6154498.0700000003</v>
      </c>
      <c r="P23" s="22">
        <v>1</v>
      </c>
      <c r="Q23" s="22" t="s">
        <v>146</v>
      </c>
      <c r="R23" s="22"/>
      <c r="S23" s="22"/>
      <c r="T23" s="20" t="s">
        <v>167</v>
      </c>
    </row>
    <row r="24" spans="1:29" x14ac:dyDescent="0.15">
      <c r="A24" s="24">
        <v>2</v>
      </c>
      <c r="B24" s="24"/>
      <c r="C24" s="24" t="s">
        <v>156</v>
      </c>
      <c r="D24" s="24" t="s">
        <v>33</v>
      </c>
      <c r="E24" s="25">
        <v>500500</v>
      </c>
      <c r="F24" s="25">
        <v>6158000</v>
      </c>
      <c r="G24" s="26">
        <v>25</v>
      </c>
      <c r="H24" s="26">
        <v>30</v>
      </c>
      <c r="I24" s="24">
        <v>1</v>
      </c>
      <c r="J24" s="24" t="s">
        <v>120</v>
      </c>
      <c r="K24" s="24" t="s">
        <v>128</v>
      </c>
      <c r="L24" s="24">
        <v>20260716</v>
      </c>
      <c r="M24" s="24">
        <v>20260716</v>
      </c>
      <c r="N24" s="27">
        <f t="shared" ref="N24:N29" ca="1" si="1">ROUND(E24 + IF(RAND()&lt;0.5, -1, 1) * ((RAND()*2.9)+0.1), 2)</f>
        <v>500502.07</v>
      </c>
      <c r="O24" s="27">
        <f t="shared" ref="O24:O29" ca="1" si="2">ROUND(F24 + IF(RAND()&lt;0.5, -1, 1) * ((RAND()*2.9)+0.1), 2)</f>
        <v>6158002.9900000002</v>
      </c>
      <c r="P24" s="26">
        <v>30.4</v>
      </c>
      <c r="Q24" s="26" t="s">
        <v>144</v>
      </c>
      <c r="R24" s="26"/>
      <c r="S24" s="26"/>
      <c r="T24" s="24"/>
    </row>
    <row r="25" spans="1:29" x14ac:dyDescent="0.15">
      <c r="A25" s="20">
        <v>3</v>
      </c>
      <c r="B25" s="20"/>
      <c r="C25" s="20" t="s">
        <v>155</v>
      </c>
      <c r="D25" s="20" t="s">
        <v>33</v>
      </c>
      <c r="E25" s="21">
        <v>506500</v>
      </c>
      <c r="F25" s="21">
        <v>6155500</v>
      </c>
      <c r="G25" s="22">
        <v>25</v>
      </c>
      <c r="H25" s="22">
        <v>30</v>
      </c>
      <c r="I25" s="20">
        <v>1</v>
      </c>
      <c r="J25" s="20" t="s">
        <v>120</v>
      </c>
      <c r="K25" s="20" t="s">
        <v>129</v>
      </c>
      <c r="L25" s="20">
        <v>20260716</v>
      </c>
      <c r="M25" s="20">
        <v>20260716</v>
      </c>
      <c r="N25" s="23">
        <f t="shared" ca="1" si="1"/>
        <v>506501.12</v>
      </c>
      <c r="O25" s="23">
        <f t="shared" ca="1" si="2"/>
        <v>6155498.8799999999</v>
      </c>
      <c r="P25" s="22">
        <v>28</v>
      </c>
      <c r="Q25" s="22" t="s">
        <v>145</v>
      </c>
      <c r="R25" s="22"/>
      <c r="S25" s="22"/>
      <c r="T25" s="20"/>
    </row>
    <row r="26" spans="1:29" x14ac:dyDescent="0.15">
      <c r="A26" s="24">
        <v>4</v>
      </c>
      <c r="B26" s="24"/>
      <c r="C26" s="24" t="s">
        <v>157</v>
      </c>
      <c r="D26" s="24" t="s">
        <v>33</v>
      </c>
      <c r="E26" s="25">
        <v>494500</v>
      </c>
      <c r="F26" s="25">
        <v>6149000</v>
      </c>
      <c r="G26" s="26">
        <v>25</v>
      </c>
      <c r="H26" s="26">
        <v>30</v>
      </c>
      <c r="I26" s="24">
        <v>1</v>
      </c>
      <c r="J26" s="24" t="s">
        <v>120</v>
      </c>
      <c r="K26" s="24" t="s">
        <v>128</v>
      </c>
      <c r="L26" s="24">
        <v>20260716</v>
      </c>
      <c r="M26" s="24">
        <v>20260717</v>
      </c>
      <c r="N26" s="27">
        <f t="shared" ca="1" si="1"/>
        <v>494502.01</v>
      </c>
      <c r="O26" s="27">
        <f t="shared" ca="1" si="2"/>
        <v>6149000.1200000001</v>
      </c>
      <c r="P26" s="26">
        <v>30.2</v>
      </c>
      <c r="Q26" s="26" t="s">
        <v>144</v>
      </c>
      <c r="R26" s="26"/>
      <c r="S26" s="26"/>
      <c r="T26" s="24"/>
    </row>
    <row r="27" spans="1:29" x14ac:dyDescent="0.15">
      <c r="A27" s="20">
        <v>5</v>
      </c>
      <c r="B27" s="20"/>
      <c r="C27" s="20" t="s">
        <v>163</v>
      </c>
      <c r="D27" s="20" t="s">
        <v>93</v>
      </c>
      <c r="E27" s="21">
        <v>504500</v>
      </c>
      <c r="F27" s="21">
        <v>6148000</v>
      </c>
      <c r="G27" s="22">
        <v>25</v>
      </c>
      <c r="H27" s="22">
        <v>30</v>
      </c>
      <c r="I27" s="20">
        <v>1</v>
      </c>
      <c r="J27" s="20" t="s">
        <v>120</v>
      </c>
      <c r="K27" s="20" t="s">
        <v>127</v>
      </c>
      <c r="L27" s="20">
        <v>20260716</v>
      </c>
      <c r="M27" s="20"/>
      <c r="N27" s="23">
        <f t="shared" ca="1" si="1"/>
        <v>504501.17</v>
      </c>
      <c r="O27" s="23">
        <f t="shared" ca="1" si="2"/>
        <v>6147997.4400000004</v>
      </c>
      <c r="P27" s="22"/>
      <c r="Q27" s="22"/>
      <c r="R27" s="22"/>
      <c r="S27" s="22"/>
      <c r="T27" s="20"/>
    </row>
    <row r="28" spans="1:29" x14ac:dyDescent="0.15">
      <c r="A28" s="24">
        <v>6</v>
      </c>
      <c r="B28" s="24"/>
      <c r="C28" s="24" t="s">
        <v>124</v>
      </c>
      <c r="D28" s="24" t="s">
        <v>31</v>
      </c>
      <c r="E28" s="25">
        <v>500500</v>
      </c>
      <c r="F28" s="25">
        <v>6145500</v>
      </c>
      <c r="G28" s="26">
        <v>25</v>
      </c>
      <c r="H28" s="26">
        <v>50</v>
      </c>
      <c r="I28" s="24">
        <v>1</v>
      </c>
      <c r="J28" s="24" t="s">
        <v>120</v>
      </c>
      <c r="K28" s="24" t="s">
        <v>126</v>
      </c>
      <c r="L28" s="24"/>
      <c r="M28" s="24"/>
      <c r="N28" s="27"/>
      <c r="O28" s="27"/>
      <c r="P28" s="26"/>
      <c r="Q28" s="26"/>
      <c r="R28" s="26"/>
      <c r="S28" s="26"/>
      <c r="T28" s="24"/>
    </row>
    <row r="29" spans="1:29" x14ac:dyDescent="0.15">
      <c r="A29" s="20">
        <v>7</v>
      </c>
      <c r="B29" s="20"/>
      <c r="C29" s="20" t="s">
        <v>165</v>
      </c>
      <c r="D29" s="20" t="s">
        <v>33</v>
      </c>
      <c r="E29" s="21">
        <v>494500</v>
      </c>
      <c r="F29" s="21">
        <v>6154500</v>
      </c>
      <c r="G29" s="22">
        <v>25</v>
      </c>
      <c r="H29" s="22">
        <v>30</v>
      </c>
      <c r="I29" s="20">
        <v>1</v>
      </c>
      <c r="J29" s="20" t="s">
        <v>120</v>
      </c>
      <c r="K29" s="20" t="s">
        <v>128</v>
      </c>
      <c r="L29" s="20">
        <v>20260716</v>
      </c>
      <c r="M29" s="20">
        <v>20260716</v>
      </c>
      <c r="N29" s="23">
        <f t="shared" ca="1" si="1"/>
        <v>494501.69</v>
      </c>
      <c r="O29" s="23">
        <f t="shared" ca="1" si="2"/>
        <v>6154497.0099999998</v>
      </c>
      <c r="P29" s="22">
        <v>30.1</v>
      </c>
      <c r="Q29" s="22" t="s">
        <v>144</v>
      </c>
      <c r="R29" s="22" t="s">
        <v>169</v>
      </c>
      <c r="S29" s="22" t="s">
        <v>116</v>
      </c>
      <c r="T29" s="20"/>
    </row>
    <row r="30" spans="1:29" x14ac:dyDescent="0.15">
      <c r="A30" s="24"/>
      <c r="B30" s="24"/>
      <c r="C30" s="24"/>
      <c r="D30" s="24"/>
      <c r="E30" s="25"/>
      <c r="F30" s="25"/>
      <c r="G30" s="26"/>
      <c r="H30" s="26"/>
      <c r="I30" s="24"/>
      <c r="J30" s="24"/>
      <c r="K30" s="24"/>
      <c r="L30" s="24"/>
      <c r="M30" s="24"/>
      <c r="N30" s="25"/>
      <c r="O30" s="25"/>
      <c r="P30" s="26"/>
      <c r="Q30" s="26"/>
      <c r="R30" s="26"/>
      <c r="S30" s="26"/>
      <c r="T30" s="24"/>
    </row>
    <row r="31" spans="1:29" x14ac:dyDescent="0.15">
      <c r="A31" s="20"/>
      <c r="B31" s="20"/>
      <c r="C31" s="20"/>
      <c r="D31" s="20"/>
      <c r="E31" s="21"/>
      <c r="F31" s="21"/>
      <c r="G31" s="22"/>
      <c r="H31" s="22"/>
      <c r="I31" s="20"/>
      <c r="J31" s="20"/>
      <c r="K31" s="20"/>
      <c r="L31" s="20"/>
      <c r="M31" s="20"/>
      <c r="N31" s="21"/>
      <c r="O31" s="21"/>
      <c r="P31" s="22"/>
      <c r="Q31" s="22"/>
      <c r="R31" s="22"/>
      <c r="S31" s="22"/>
      <c r="T31" s="20"/>
    </row>
    <row r="32" spans="1:29" x14ac:dyDescent="0.15">
      <c r="A32" s="24"/>
      <c r="B32" s="24"/>
      <c r="C32" s="24"/>
      <c r="D32" s="24"/>
      <c r="E32" s="25"/>
      <c r="F32" s="25"/>
      <c r="G32" s="26"/>
      <c r="H32" s="26"/>
      <c r="I32" s="24"/>
      <c r="J32" s="24"/>
      <c r="K32" s="24"/>
      <c r="L32" s="24"/>
      <c r="M32" s="24"/>
      <c r="N32" s="25"/>
      <c r="O32" s="25"/>
      <c r="P32" s="26"/>
      <c r="Q32" s="26"/>
      <c r="R32" s="26"/>
      <c r="S32" s="26"/>
      <c r="T32" s="24"/>
    </row>
    <row r="33" spans="1:20" x14ac:dyDescent="0.15">
      <c r="A33" s="20"/>
      <c r="B33" s="20"/>
      <c r="C33" s="20"/>
      <c r="D33" s="20"/>
      <c r="E33" s="21"/>
      <c r="F33" s="21"/>
      <c r="G33" s="22"/>
      <c r="H33" s="22"/>
      <c r="I33" s="20"/>
      <c r="J33" s="20"/>
      <c r="K33" s="20"/>
      <c r="L33" s="20"/>
      <c r="M33" s="20"/>
      <c r="N33" s="21"/>
      <c r="O33" s="21"/>
      <c r="P33" s="22"/>
      <c r="Q33" s="22"/>
      <c r="R33" s="22"/>
      <c r="S33" s="22"/>
      <c r="T33" s="20"/>
    </row>
    <row r="34" spans="1:20" x14ac:dyDescent="0.15">
      <c r="A34" s="24"/>
      <c r="B34" s="24"/>
      <c r="C34" s="24"/>
      <c r="D34" s="24"/>
      <c r="E34" s="25"/>
      <c r="F34" s="25"/>
      <c r="G34" s="26"/>
      <c r="H34" s="26"/>
      <c r="I34" s="24"/>
      <c r="J34" s="24"/>
      <c r="K34" s="24"/>
      <c r="L34" s="24"/>
      <c r="M34" s="24"/>
      <c r="N34" s="27"/>
      <c r="O34" s="25"/>
      <c r="P34" s="26"/>
      <c r="Q34" s="26"/>
      <c r="R34" s="26"/>
      <c r="S34" s="26"/>
      <c r="T34" s="24"/>
    </row>
    <row r="35" spans="1:20" x14ac:dyDescent="0.15">
      <c r="A35" s="20"/>
      <c r="B35" s="20"/>
      <c r="C35" s="20"/>
      <c r="D35" s="20"/>
      <c r="E35" s="21"/>
      <c r="F35" s="21"/>
      <c r="G35" s="22"/>
      <c r="H35" s="22"/>
      <c r="I35" s="20"/>
      <c r="J35" s="20"/>
      <c r="K35" s="20"/>
      <c r="L35" s="20"/>
      <c r="M35" s="20"/>
      <c r="N35" s="21"/>
      <c r="O35" s="21"/>
      <c r="P35" s="22"/>
      <c r="Q35" s="22"/>
      <c r="R35" s="22"/>
      <c r="S35" s="22"/>
      <c r="T35" s="20"/>
    </row>
    <row r="36" spans="1:20" x14ac:dyDescent="0.15">
      <c r="A36" s="24"/>
      <c r="B36" s="24"/>
      <c r="C36" s="24"/>
      <c r="D36" s="24"/>
      <c r="E36" s="25"/>
      <c r="F36" s="25"/>
      <c r="G36" s="26"/>
      <c r="H36" s="26"/>
      <c r="I36" s="24"/>
      <c r="J36" s="24"/>
      <c r="K36" s="24"/>
      <c r="L36" s="24"/>
      <c r="M36" s="24"/>
      <c r="N36" s="25"/>
      <c r="O36" s="25"/>
      <c r="P36" s="26"/>
      <c r="Q36" s="26"/>
      <c r="R36" s="26"/>
      <c r="S36" s="26"/>
      <c r="T36" s="24"/>
    </row>
    <row r="37" spans="1:20" x14ac:dyDescent="0.15">
      <c r="A37" s="20"/>
      <c r="B37" s="20"/>
      <c r="C37" s="20"/>
      <c r="D37" s="20"/>
      <c r="E37" s="21"/>
      <c r="F37" s="21"/>
      <c r="G37" s="22"/>
      <c r="H37" s="22"/>
      <c r="I37" s="20"/>
      <c r="J37" s="20"/>
      <c r="K37" s="20"/>
      <c r="L37" s="20"/>
      <c r="M37" s="20"/>
      <c r="N37" s="21"/>
      <c r="O37" s="21"/>
      <c r="P37" s="22"/>
      <c r="Q37" s="22"/>
      <c r="R37" s="22"/>
      <c r="S37" s="22"/>
      <c r="T37" s="20"/>
    </row>
    <row r="38" spans="1:20" x14ac:dyDescent="0.15">
      <c r="A38" s="24"/>
      <c r="B38" s="24"/>
      <c r="C38" s="24"/>
      <c r="D38" s="24"/>
      <c r="E38" s="25"/>
      <c r="F38" s="25"/>
      <c r="G38" s="26"/>
      <c r="H38" s="26"/>
      <c r="I38" s="24"/>
      <c r="J38" s="24"/>
      <c r="K38" s="24"/>
      <c r="L38" s="24"/>
      <c r="M38" s="24"/>
      <c r="N38" s="25"/>
      <c r="O38" s="25"/>
      <c r="P38" s="26"/>
      <c r="Q38" s="26"/>
      <c r="R38" s="26"/>
      <c r="S38" s="26"/>
      <c r="T38" s="24"/>
    </row>
    <row r="39" spans="1:20" x14ac:dyDescent="0.15">
      <c r="A39" s="20"/>
      <c r="B39" s="20"/>
      <c r="C39" s="20"/>
      <c r="D39" s="20"/>
      <c r="E39" s="21"/>
      <c r="F39" s="21"/>
      <c r="G39" s="22"/>
      <c r="H39" s="22"/>
      <c r="I39" s="20"/>
      <c r="J39" s="20"/>
      <c r="K39" s="20"/>
      <c r="L39" s="20"/>
      <c r="M39" s="20"/>
      <c r="N39" s="21"/>
      <c r="O39" s="21"/>
      <c r="P39" s="22"/>
      <c r="Q39" s="22"/>
      <c r="R39" s="22"/>
      <c r="S39" s="22"/>
      <c r="T39" s="20"/>
    </row>
    <row r="40" spans="1:20" x14ac:dyDescent="0.15">
      <c r="A40" s="24"/>
      <c r="B40" s="24"/>
      <c r="C40" s="24"/>
      <c r="D40" s="24"/>
      <c r="E40" s="25"/>
      <c r="F40" s="25"/>
      <c r="G40" s="26"/>
      <c r="H40" s="26"/>
      <c r="I40" s="24"/>
      <c r="J40" s="24"/>
      <c r="K40" s="24"/>
      <c r="L40" s="24"/>
      <c r="M40" s="24"/>
      <c r="N40" s="25"/>
      <c r="O40" s="25"/>
      <c r="P40" s="26"/>
      <c r="Q40" s="26"/>
      <c r="R40" s="26"/>
      <c r="S40" s="26"/>
      <c r="T40" s="24"/>
    </row>
    <row r="41" spans="1:20" x14ac:dyDescent="0.15">
      <c r="A41" s="20"/>
      <c r="B41" s="20"/>
      <c r="C41" s="20"/>
      <c r="D41" s="20"/>
      <c r="E41" s="21"/>
      <c r="F41" s="21"/>
      <c r="G41" s="22"/>
      <c r="H41" s="22"/>
      <c r="I41" s="20"/>
      <c r="J41" s="20"/>
      <c r="K41" s="20"/>
      <c r="L41" s="20"/>
      <c r="M41" s="20"/>
      <c r="N41" s="21"/>
      <c r="O41" s="21"/>
      <c r="P41" s="22"/>
      <c r="Q41" s="22"/>
      <c r="R41" s="22"/>
      <c r="S41" s="22"/>
      <c r="T41" s="20"/>
    </row>
    <row r="42" spans="1:20" x14ac:dyDescent="0.15">
      <c r="A42" s="24"/>
      <c r="B42" s="24"/>
      <c r="C42" s="24"/>
      <c r="D42" s="24"/>
      <c r="E42" s="25"/>
      <c r="F42" s="25"/>
      <c r="G42" s="26"/>
      <c r="H42" s="26"/>
      <c r="I42" s="24"/>
      <c r="J42" s="24"/>
      <c r="K42" s="24"/>
      <c r="L42" s="24"/>
      <c r="M42" s="24"/>
      <c r="N42" s="25"/>
      <c r="O42" s="25"/>
      <c r="P42" s="26"/>
      <c r="Q42" s="26"/>
      <c r="R42" s="26"/>
      <c r="S42" s="26"/>
      <c r="T42" s="24"/>
    </row>
    <row r="43" spans="1:20" x14ac:dyDescent="0.15">
      <c r="A43" s="20"/>
      <c r="B43" s="20"/>
      <c r="C43" s="20"/>
      <c r="D43" s="20"/>
      <c r="E43" s="21"/>
      <c r="F43" s="21"/>
      <c r="G43" s="22"/>
      <c r="H43" s="22"/>
      <c r="I43" s="20"/>
      <c r="J43" s="20"/>
      <c r="K43" s="20"/>
      <c r="L43" s="20"/>
      <c r="M43" s="20"/>
      <c r="N43" s="21"/>
      <c r="O43" s="21"/>
      <c r="P43" s="22"/>
      <c r="Q43" s="22"/>
      <c r="R43" s="22"/>
      <c r="S43" s="22"/>
      <c r="T43" s="20"/>
    </row>
    <row r="44" spans="1:20" x14ac:dyDescent="0.15">
      <c r="A44" s="24"/>
      <c r="B44" s="24"/>
      <c r="C44" s="24"/>
      <c r="D44" s="24"/>
      <c r="E44" s="25"/>
      <c r="F44" s="25"/>
      <c r="G44" s="26"/>
      <c r="H44" s="26"/>
      <c r="I44" s="24"/>
      <c r="J44" s="24"/>
      <c r="K44" s="24"/>
      <c r="L44" s="24"/>
      <c r="M44" s="24"/>
      <c r="N44" s="25"/>
      <c r="O44" s="25"/>
      <c r="P44" s="26"/>
      <c r="Q44" s="26"/>
      <c r="R44" s="26"/>
      <c r="S44" s="26"/>
      <c r="T44" s="24"/>
    </row>
    <row r="45" spans="1:20" x14ac:dyDescent="0.15">
      <c r="A45" s="20"/>
      <c r="B45" s="20"/>
      <c r="C45" s="20"/>
      <c r="D45" s="20"/>
      <c r="E45" s="21"/>
      <c r="F45" s="21"/>
      <c r="G45" s="22"/>
      <c r="H45" s="22"/>
      <c r="I45" s="20"/>
      <c r="J45" s="20"/>
      <c r="K45" s="20"/>
      <c r="L45" s="20"/>
      <c r="M45" s="20"/>
      <c r="N45" s="21"/>
      <c r="O45" s="21"/>
      <c r="P45" s="22"/>
      <c r="Q45" s="22"/>
      <c r="R45" s="22"/>
      <c r="S45" s="22"/>
      <c r="T45" s="20"/>
    </row>
    <row r="46" spans="1:20" x14ac:dyDescent="0.15">
      <c r="A46" s="24"/>
      <c r="B46" s="24"/>
      <c r="C46" s="24"/>
      <c r="D46" s="24"/>
      <c r="E46" s="25"/>
      <c r="F46" s="25"/>
      <c r="G46" s="26"/>
      <c r="H46" s="26"/>
      <c r="I46" s="24"/>
      <c r="J46" s="24"/>
      <c r="K46" s="24"/>
      <c r="L46" s="24"/>
      <c r="M46" s="24"/>
      <c r="N46" s="25"/>
      <c r="O46" s="25"/>
      <c r="P46" s="26"/>
      <c r="Q46" s="26"/>
      <c r="R46" s="26"/>
      <c r="S46" s="26"/>
      <c r="T46" s="24"/>
    </row>
    <row r="47" spans="1:20" x14ac:dyDescent="0.15">
      <c r="A47" s="20"/>
      <c r="B47" s="20"/>
      <c r="C47" s="20"/>
      <c r="D47" s="20"/>
      <c r="E47" s="21"/>
      <c r="F47" s="21"/>
      <c r="G47" s="22"/>
      <c r="H47" s="22"/>
      <c r="I47" s="20"/>
      <c r="J47" s="20"/>
      <c r="K47" s="20"/>
      <c r="L47" s="20"/>
      <c r="M47" s="20"/>
      <c r="N47" s="21"/>
      <c r="O47" s="21"/>
      <c r="P47" s="22"/>
      <c r="Q47" s="22"/>
      <c r="R47" s="22"/>
      <c r="S47" s="22"/>
      <c r="T47" s="20"/>
    </row>
    <row r="48" spans="1:20" x14ac:dyDescent="0.15">
      <c r="A48" s="24"/>
      <c r="B48" s="24"/>
      <c r="C48" s="24"/>
      <c r="D48" s="24"/>
      <c r="E48" s="25"/>
      <c r="F48" s="25"/>
      <c r="G48" s="26"/>
      <c r="H48" s="26"/>
      <c r="I48" s="24"/>
      <c r="J48" s="24"/>
      <c r="K48" s="24"/>
      <c r="L48" s="24"/>
      <c r="M48" s="24"/>
      <c r="N48" s="25"/>
      <c r="O48" s="25"/>
      <c r="P48" s="26"/>
      <c r="Q48" s="26"/>
      <c r="R48" s="26"/>
      <c r="S48" s="26"/>
      <c r="T48" s="24"/>
    </row>
    <row r="49" spans="1:20" x14ac:dyDescent="0.15">
      <c r="A49" s="20"/>
      <c r="B49" s="20"/>
      <c r="C49" s="20"/>
      <c r="D49" s="20"/>
      <c r="E49" s="21"/>
      <c r="F49" s="21"/>
      <c r="G49" s="22"/>
      <c r="H49" s="22"/>
      <c r="I49" s="20"/>
      <c r="J49" s="20"/>
      <c r="K49" s="20"/>
      <c r="L49" s="20"/>
      <c r="M49" s="20"/>
      <c r="N49" s="21"/>
      <c r="O49" s="21"/>
      <c r="P49" s="22"/>
      <c r="Q49" s="22"/>
      <c r="R49" s="22"/>
      <c r="S49" s="22"/>
      <c r="T49" s="20"/>
    </row>
    <row r="50" spans="1:20" x14ac:dyDescent="0.15">
      <c r="A50" s="24"/>
      <c r="B50" s="24"/>
      <c r="C50" s="24"/>
      <c r="D50" s="24"/>
      <c r="E50" s="25"/>
      <c r="F50" s="25"/>
      <c r="G50" s="26"/>
      <c r="H50" s="26"/>
      <c r="I50" s="24"/>
      <c r="J50" s="24"/>
      <c r="K50" s="24"/>
      <c r="L50" s="24"/>
      <c r="M50" s="24"/>
      <c r="N50" s="25"/>
      <c r="O50" s="25"/>
      <c r="P50" s="26"/>
      <c r="Q50" s="26"/>
      <c r="R50" s="26"/>
      <c r="S50" s="26"/>
      <c r="T50" s="24"/>
    </row>
    <row r="51" spans="1:20" x14ac:dyDescent="0.15">
      <c r="A51" s="20"/>
      <c r="B51" s="20"/>
      <c r="C51" s="20"/>
      <c r="D51" s="20"/>
      <c r="E51" s="21"/>
      <c r="F51" s="21"/>
      <c r="G51" s="22"/>
      <c r="H51" s="22"/>
      <c r="I51" s="20"/>
      <c r="J51" s="20"/>
      <c r="K51" s="20"/>
      <c r="L51" s="20"/>
      <c r="M51" s="20"/>
      <c r="N51" s="21"/>
      <c r="O51" s="21"/>
      <c r="P51" s="22"/>
      <c r="Q51" s="22"/>
      <c r="R51" s="22"/>
      <c r="S51" s="22"/>
      <c r="T51" s="20"/>
    </row>
    <row r="52" spans="1:20" x14ac:dyDescent="0.15">
      <c r="A52" s="24"/>
      <c r="B52" s="24"/>
      <c r="C52" s="24"/>
      <c r="D52" s="24"/>
      <c r="E52" s="25"/>
      <c r="F52" s="25"/>
      <c r="G52" s="26"/>
      <c r="H52" s="26"/>
      <c r="I52" s="24"/>
      <c r="J52" s="24"/>
      <c r="K52" s="24"/>
      <c r="L52" s="24"/>
      <c r="M52" s="24"/>
      <c r="N52" s="25"/>
      <c r="O52" s="25"/>
      <c r="P52" s="26"/>
      <c r="Q52" s="26"/>
      <c r="R52" s="26"/>
      <c r="S52" s="26"/>
      <c r="T52" s="24"/>
    </row>
    <row r="53" spans="1:20" x14ac:dyDescent="0.15">
      <c r="A53" s="20"/>
      <c r="B53" s="20"/>
      <c r="C53" s="20"/>
      <c r="D53" s="20"/>
      <c r="E53" s="21"/>
      <c r="F53" s="21"/>
      <c r="G53" s="22"/>
      <c r="H53" s="22"/>
      <c r="I53" s="20"/>
      <c r="J53" s="20"/>
      <c r="K53" s="20"/>
      <c r="L53" s="20"/>
      <c r="M53" s="20"/>
      <c r="N53" s="21"/>
      <c r="O53" s="21"/>
      <c r="P53" s="22"/>
      <c r="Q53" s="22"/>
      <c r="R53" s="22"/>
      <c r="S53" s="22"/>
      <c r="T53" s="20"/>
    </row>
    <row r="54" spans="1:20" x14ac:dyDescent="0.15">
      <c r="A54" s="24"/>
      <c r="B54" s="24"/>
      <c r="C54" s="24"/>
      <c r="D54" s="24"/>
      <c r="E54" s="25"/>
      <c r="F54" s="25"/>
      <c r="G54" s="26"/>
      <c r="H54" s="26"/>
      <c r="I54" s="24"/>
      <c r="J54" s="24"/>
      <c r="K54" s="24"/>
      <c r="L54" s="24"/>
      <c r="M54" s="24"/>
      <c r="N54" s="25"/>
      <c r="O54" s="25"/>
      <c r="P54" s="26"/>
      <c r="Q54" s="26"/>
      <c r="R54" s="26"/>
      <c r="S54" s="26"/>
      <c r="T54" s="24"/>
    </row>
    <row r="55" spans="1:20" x14ac:dyDescent="0.15">
      <c r="A55" s="20"/>
      <c r="B55" s="20"/>
      <c r="C55" s="20"/>
      <c r="D55" s="20"/>
      <c r="E55" s="21"/>
      <c r="F55" s="21"/>
      <c r="G55" s="22"/>
      <c r="H55" s="22"/>
      <c r="I55" s="20"/>
      <c r="J55" s="20"/>
      <c r="K55" s="20"/>
      <c r="L55" s="20"/>
      <c r="M55" s="20"/>
      <c r="N55" s="21"/>
      <c r="O55" s="21"/>
      <c r="P55" s="22"/>
      <c r="Q55" s="22"/>
      <c r="R55" s="22"/>
      <c r="S55" s="22"/>
      <c r="T55" s="20"/>
    </row>
    <row r="56" spans="1:20" x14ac:dyDescent="0.15">
      <c r="A56" s="24"/>
      <c r="B56" s="24"/>
      <c r="C56" s="24"/>
      <c r="D56" s="24"/>
      <c r="E56" s="25"/>
      <c r="F56" s="25"/>
      <c r="G56" s="26"/>
      <c r="H56" s="26"/>
      <c r="I56" s="24"/>
      <c r="J56" s="24"/>
      <c r="K56" s="24"/>
      <c r="L56" s="24"/>
      <c r="M56" s="24"/>
      <c r="N56" s="25"/>
      <c r="O56" s="25"/>
      <c r="P56" s="26"/>
      <c r="Q56" s="26"/>
      <c r="R56" s="26"/>
      <c r="S56" s="26"/>
      <c r="T56" s="24"/>
    </row>
    <row r="57" spans="1:20" x14ac:dyDescent="0.15">
      <c r="A57" s="20"/>
      <c r="B57" s="20"/>
      <c r="C57" s="20"/>
      <c r="D57" s="20"/>
      <c r="E57" s="21"/>
      <c r="F57" s="21"/>
      <c r="G57" s="22"/>
      <c r="H57" s="22"/>
      <c r="I57" s="20"/>
      <c r="J57" s="20"/>
      <c r="K57" s="20"/>
      <c r="L57" s="20"/>
      <c r="M57" s="20"/>
      <c r="N57" s="21"/>
      <c r="O57" s="21"/>
      <c r="P57" s="22"/>
      <c r="Q57" s="22"/>
      <c r="R57" s="22"/>
      <c r="S57" s="22"/>
      <c r="T57" s="20"/>
    </row>
    <row r="58" spans="1:20" x14ac:dyDescent="0.15">
      <c r="A58" s="24"/>
      <c r="B58" s="24"/>
      <c r="C58" s="24"/>
      <c r="D58" s="24"/>
      <c r="E58" s="25"/>
      <c r="F58" s="25"/>
      <c r="G58" s="26"/>
      <c r="H58" s="26"/>
      <c r="I58" s="24"/>
      <c r="J58" s="24"/>
      <c r="K58" s="24"/>
      <c r="L58" s="24"/>
      <c r="M58" s="24"/>
      <c r="N58" s="25"/>
      <c r="O58" s="25"/>
      <c r="P58" s="26"/>
      <c r="Q58" s="26"/>
      <c r="R58" s="26"/>
      <c r="S58" s="26"/>
      <c r="T58" s="24"/>
    </row>
    <row r="59" spans="1:20" x14ac:dyDescent="0.15">
      <c r="A59" s="20"/>
      <c r="B59" s="20"/>
      <c r="C59" s="20"/>
      <c r="D59" s="20"/>
      <c r="E59" s="21"/>
      <c r="F59" s="21"/>
      <c r="G59" s="22"/>
      <c r="H59" s="22"/>
      <c r="I59" s="20"/>
      <c r="J59" s="20"/>
      <c r="K59" s="20"/>
      <c r="L59" s="20"/>
      <c r="M59" s="20"/>
      <c r="N59" s="21"/>
      <c r="O59" s="21"/>
      <c r="P59" s="22"/>
      <c r="Q59" s="22"/>
      <c r="R59" s="22"/>
      <c r="S59" s="22"/>
      <c r="T59" s="20"/>
    </row>
    <row r="60" spans="1:20" x14ac:dyDescent="0.15">
      <c r="A60" s="24"/>
      <c r="B60" s="24"/>
      <c r="C60" s="24"/>
      <c r="D60" s="24"/>
      <c r="E60" s="25"/>
      <c r="F60" s="25"/>
      <c r="G60" s="26"/>
      <c r="H60" s="26"/>
      <c r="I60" s="24"/>
      <c r="J60" s="24"/>
      <c r="K60" s="24"/>
      <c r="L60" s="24"/>
      <c r="M60" s="24"/>
      <c r="N60" s="25"/>
      <c r="O60" s="25"/>
      <c r="P60" s="26"/>
      <c r="Q60" s="26"/>
      <c r="R60" s="26"/>
      <c r="S60" s="26"/>
      <c r="T60" s="24"/>
    </row>
    <row r="61" spans="1:20" x14ac:dyDescent="0.15">
      <c r="A61" s="20"/>
      <c r="B61" s="20"/>
      <c r="C61" s="20"/>
      <c r="D61" s="20"/>
      <c r="E61" s="21"/>
      <c r="F61" s="21"/>
      <c r="G61" s="22"/>
      <c r="H61" s="22"/>
      <c r="I61" s="20"/>
      <c r="J61" s="20"/>
      <c r="K61" s="20"/>
      <c r="L61" s="20"/>
      <c r="M61" s="20"/>
      <c r="N61" s="21"/>
      <c r="O61" s="21"/>
      <c r="P61" s="22"/>
      <c r="Q61" s="22"/>
      <c r="R61" s="22"/>
      <c r="S61" s="22"/>
      <c r="T61" s="20"/>
    </row>
    <row r="62" spans="1:20" x14ac:dyDescent="0.15">
      <c r="A62" s="24"/>
      <c r="B62" s="24"/>
      <c r="C62" s="24"/>
      <c r="D62" s="24"/>
      <c r="E62" s="25"/>
      <c r="F62" s="25"/>
      <c r="G62" s="26"/>
      <c r="H62" s="26"/>
      <c r="I62" s="24"/>
      <c r="J62" s="24"/>
      <c r="K62" s="24"/>
      <c r="L62" s="24"/>
      <c r="M62" s="24"/>
      <c r="N62" s="25"/>
      <c r="O62" s="25"/>
      <c r="P62" s="26"/>
      <c r="Q62" s="26"/>
      <c r="R62" s="26"/>
      <c r="S62" s="26"/>
      <c r="T62" s="24"/>
    </row>
    <row r="63" spans="1:20" x14ac:dyDescent="0.15">
      <c r="A63" s="20"/>
      <c r="B63" s="20"/>
      <c r="C63" s="20"/>
      <c r="D63" s="20"/>
      <c r="E63" s="21"/>
      <c r="F63" s="21"/>
      <c r="G63" s="22"/>
      <c r="H63" s="22"/>
      <c r="I63" s="20"/>
      <c r="J63" s="20"/>
      <c r="K63" s="20"/>
      <c r="L63" s="20"/>
      <c r="M63" s="20"/>
      <c r="N63" s="21"/>
      <c r="O63" s="21"/>
      <c r="P63" s="22"/>
      <c r="Q63" s="22"/>
      <c r="R63" s="22"/>
      <c r="S63" s="22"/>
      <c r="T63" s="20"/>
    </row>
    <row r="64" spans="1:20" x14ac:dyDescent="0.15">
      <c r="A64" s="24"/>
      <c r="B64" s="24"/>
      <c r="C64" s="24"/>
      <c r="D64" s="24"/>
      <c r="E64" s="25"/>
      <c r="F64" s="25"/>
      <c r="G64" s="26"/>
      <c r="H64" s="26"/>
      <c r="I64" s="24"/>
      <c r="J64" s="24"/>
      <c r="K64" s="24"/>
      <c r="L64" s="24"/>
      <c r="M64" s="24"/>
      <c r="N64" s="25"/>
      <c r="O64" s="25"/>
      <c r="P64" s="26"/>
      <c r="Q64" s="26"/>
      <c r="R64" s="26"/>
      <c r="S64" s="26"/>
      <c r="T64" s="24"/>
    </row>
  </sheetData>
  <mergeCells count="48">
    <mergeCell ref="A5:C5"/>
    <mergeCell ref="D5:G5"/>
    <mergeCell ref="M13:O13"/>
    <mergeCell ref="A18:C18"/>
    <mergeCell ref="D18:G18"/>
    <mergeCell ref="A14:C14"/>
    <mergeCell ref="D14:G14"/>
    <mergeCell ref="H18:K18"/>
    <mergeCell ref="H14:K14"/>
    <mergeCell ref="A15:C15"/>
    <mergeCell ref="D15:G15"/>
    <mergeCell ref="H15:K15"/>
    <mergeCell ref="A12:C12"/>
    <mergeCell ref="D12:G12"/>
    <mergeCell ref="H12:K12"/>
    <mergeCell ref="A13:C13"/>
    <mergeCell ref="H20:K20"/>
    <mergeCell ref="A16:C16"/>
    <mergeCell ref="D16:G16"/>
    <mergeCell ref="H16:K16"/>
    <mergeCell ref="A17:C17"/>
    <mergeCell ref="D17:G17"/>
    <mergeCell ref="H17:K17"/>
    <mergeCell ref="D13:G13"/>
    <mergeCell ref="H13:K13"/>
    <mergeCell ref="A10:C10"/>
    <mergeCell ref="D10:G10"/>
    <mergeCell ref="H10:K10"/>
    <mergeCell ref="A11:C11"/>
    <mergeCell ref="D11:G11"/>
    <mergeCell ref="H11:K11"/>
    <mergeCell ref="A8:C8"/>
    <mergeCell ref="D8:G8"/>
    <mergeCell ref="H8:K8"/>
    <mergeCell ref="A9:C9"/>
    <mergeCell ref="D9:G9"/>
    <mergeCell ref="H9:K9"/>
    <mergeCell ref="A6:C6"/>
    <mergeCell ref="D6:G6"/>
    <mergeCell ref="H6:K6"/>
    <mergeCell ref="A7:C7"/>
    <mergeCell ref="D7:G7"/>
    <mergeCell ref="H7:K7"/>
    <mergeCell ref="A2:K2"/>
    <mergeCell ref="A4:C4"/>
    <mergeCell ref="D4:G4"/>
    <mergeCell ref="H4:K4"/>
    <mergeCell ref="A1:T1"/>
  </mergeCells>
  <dataValidations count="1">
    <dataValidation type="decimal" operator="greaterThanOrEqual" allowBlank="1" showErrorMessage="1" errorTitle="Invalid depth" error="Depths must be &gt;= 0 m." sqref="G23:H64 L23:M64 P23:P64" xr:uid="{00000000-0002-0000-0000-000002000000}">
      <formula1>0</formula1>
      <formula2>0</formula2>
    </dataValidation>
  </dataValidations>
  <pageMargins left="0.23622047244094491" right="0.23622047244094491" top="0.74803149606299213" bottom="0.74803149606299213" header="0.31496062992125984" footer="0.31496062992125984"/>
  <pageSetup paperSize="8" orientation="landscape" horizontalDpi="300" verticalDpi="300" r:id="rId1"/>
  <headerFooter>
    <oddHeader>&amp;L&amp;G&amp;R&amp;"Arial Black"&amp;10&amp;K13A10E Public&amp;1#_x000D_</oddHead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Invalid priority" error="Use 1, 2 or 3 (see Reference sheet)." xr:uid="{00000000-0002-0000-0000-000001000000}">
          <x14:formula1>
            <xm:f>Reference!$G$2:$G$4</xm:f>
          </x14:formula1>
          <x14:formula2>
            <xm:f>0</xm:f>
          </x14:formula2>
          <xm:sqref>I23:I64</xm:sqref>
        </x14:dataValidation>
        <x14:dataValidation type="list" allowBlank="1" showErrorMessage="1" errorTitle="Invalid hole type" error="Must be a reference.hole_type code (see Reference sheet)." xr:uid="{00000000-0002-0000-0000-000000000000}">
          <x14:formula1>
            <xm:f>Reference!$A$2:$A$10</xm:f>
          </x14:formula1>
          <xm:sqref>D23:D64</xm:sqref>
        </x14:dataValidation>
        <x14:dataValidation type="list" allowBlank="1" showErrorMessage="1" errorTitle="Invalid priority" error="Use 1, 2 or 3 (see Reference sheet)." xr:uid="{C5D9B016-0A23-4FF2-8949-9A9F1594D055}">
          <x14:formula1>
            <xm:f>Reference!$M$2:$M$4</xm:f>
          </x14:formula1>
          <xm:sqref>J23:J64</xm:sqref>
        </x14:dataValidation>
        <x14:dataValidation type="list" allowBlank="1" showErrorMessage="1" errorTitle="Invalid priority" error="Use 1, 2 or 3 (see Reference sheet)." xr:uid="{6C29D958-A861-4FB5-93BC-F84C0A1659AF}">
          <x14:formula1>
            <xm:f>Reference!$P$2:$P$8</xm:f>
          </x14:formula1>
          <xm:sqref>K23:K64</xm:sqref>
        </x14:dataValidation>
        <x14:dataValidation type="list" operator="greaterThanOrEqual" allowBlank="1" showErrorMessage="1" errorTitle="Invalid depth" error="Depths must be &gt;= 0 m." xr:uid="{C8C15C7E-4B02-4C93-B4AE-C7BFE6C0FA8B}">
          <x14:formula1>
            <xm:f>Reference!$S$2:$S$7</xm:f>
          </x14:formula1>
          <xm:sqref>Q23:Q64</xm:sqref>
        </x14:dataValidation>
        <x14:dataValidation type="list" operator="greaterThanOrEqual" allowBlank="1" showErrorMessage="1" errorTitle="Invalid depth" error="Depths must be &gt;= 0 m." xr:uid="{AD21C203-D54E-449F-BCDD-B2378A5DDDEF}">
          <x14:formula1>
            <xm:f>Reference!$V$2:$V$7</xm:f>
          </x14:formula1>
          <xm:sqref>R23:R64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showGridLines="0" view="pageLayout" zoomScaleNormal="100" workbookViewId="0">
      <selection activeCell="A7" sqref="A7"/>
    </sheetView>
  </sheetViews>
  <sheetFormatPr defaultColWidth="8.7109375" defaultRowHeight="15" x14ac:dyDescent="0.25"/>
  <cols>
    <col min="1" max="1" width="110.5703125" customWidth="1"/>
  </cols>
  <sheetData>
    <row r="1" spans="1:1" ht="16.5" x14ac:dyDescent="0.25">
      <c r="A1" s="3" t="s">
        <v>40</v>
      </c>
    </row>
    <row r="2" spans="1:1" ht="7.5" customHeight="1" x14ac:dyDescent="0.25">
      <c r="A2" s="4"/>
    </row>
    <row r="3" spans="1:1" x14ac:dyDescent="0.25">
      <c r="A3" s="5" t="s">
        <v>41</v>
      </c>
    </row>
    <row r="4" spans="1:1" ht="33.75" customHeight="1" x14ac:dyDescent="0.25">
      <c r="A4" s="4" t="s">
        <v>99</v>
      </c>
    </row>
    <row r="5" spans="1:1" ht="7.5" customHeight="1" x14ac:dyDescent="0.25">
      <c r="A5" s="4"/>
    </row>
    <row r="6" spans="1:1" x14ac:dyDescent="0.25">
      <c r="A6" s="5" t="s">
        <v>42</v>
      </c>
    </row>
    <row r="7" spans="1:1" ht="33.75" customHeight="1" x14ac:dyDescent="0.25">
      <c r="A7" s="4" t="s">
        <v>43</v>
      </c>
    </row>
    <row r="8" spans="1:1" ht="33.75" customHeight="1" x14ac:dyDescent="0.25">
      <c r="A8" s="4" t="s">
        <v>100</v>
      </c>
    </row>
    <row r="9" spans="1:1" ht="33.75" customHeight="1" x14ac:dyDescent="0.25">
      <c r="A9" s="4" t="s">
        <v>44</v>
      </c>
    </row>
    <row r="10" spans="1:1" ht="24" customHeight="1" x14ac:dyDescent="0.25">
      <c r="A10" s="4" t="s">
        <v>45</v>
      </c>
    </row>
    <row r="11" spans="1:1" ht="33.75" customHeight="1" x14ac:dyDescent="0.25">
      <c r="A11" s="4" t="s">
        <v>46</v>
      </c>
    </row>
    <row r="12" spans="1:1" ht="24" customHeight="1" x14ac:dyDescent="0.25">
      <c r="A12" s="4" t="s">
        <v>47</v>
      </c>
    </row>
    <row r="13" spans="1:1" ht="7.5" customHeight="1" x14ac:dyDescent="0.25">
      <c r="A13" s="4"/>
    </row>
    <row r="14" spans="1:1" x14ac:dyDescent="0.25">
      <c r="A14" s="5" t="s">
        <v>48</v>
      </c>
    </row>
    <row r="15" spans="1:1" ht="39" customHeight="1" x14ac:dyDescent="0.25">
      <c r="A15" s="4" t="s">
        <v>101</v>
      </c>
    </row>
    <row r="16" spans="1:1" ht="7.5" customHeight="1" x14ac:dyDescent="0.25">
      <c r="A16" s="4"/>
    </row>
    <row r="17" spans="1:1" x14ac:dyDescent="0.25">
      <c r="A17" s="5" t="s">
        <v>49</v>
      </c>
    </row>
    <row r="18" spans="1:1" ht="33.75" customHeight="1" x14ac:dyDescent="0.25">
      <c r="A18" s="4" t="s">
        <v>50</v>
      </c>
    </row>
    <row r="19" spans="1:1" ht="7.5" customHeight="1" x14ac:dyDescent="0.25">
      <c r="A19" s="4"/>
    </row>
    <row r="20" spans="1:1" x14ac:dyDescent="0.25">
      <c r="A20" s="5" t="s">
        <v>51</v>
      </c>
    </row>
    <row r="21" spans="1:1" ht="33.75" customHeight="1" x14ac:dyDescent="0.25">
      <c r="A21" s="4" t="s">
        <v>52</v>
      </c>
    </row>
  </sheetData>
  <pageMargins left="0.75" right="0.75" top="1" bottom="1" header="0.511811023622047" footer="0.511811023622047"/>
  <pageSetup paperSize="9" orientation="portrait" horizontalDpi="300" verticalDpi="300" r:id="rId1"/>
  <headerFooter>
    <oddHeader xml:space="preserve">&amp;L&amp;G&amp;R&amp;"Arial Black,Regular"&amp;10&amp;K13A10E Public&amp;1#
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3"/>
  <sheetViews>
    <sheetView topLeftCell="N1" zoomScaleNormal="100" workbookViewId="0">
      <selection activeCell="W8" sqref="W8"/>
    </sheetView>
  </sheetViews>
  <sheetFormatPr defaultColWidth="8.7109375" defaultRowHeight="15" x14ac:dyDescent="0.25"/>
  <cols>
    <col min="1" max="1" width="8" customWidth="1"/>
    <col min="2" max="2" width="37.5703125" customWidth="1"/>
    <col min="4" max="4" width="8" customWidth="1"/>
    <col min="5" max="5" width="40" customWidth="1"/>
    <col min="7" max="7" width="8" customWidth="1"/>
    <col min="8" max="8" width="38" customWidth="1"/>
    <col min="10" max="10" width="8" customWidth="1"/>
    <col min="11" max="11" width="30" customWidth="1"/>
    <col min="13" max="13" width="13.42578125" customWidth="1"/>
    <col min="14" max="14" width="68.28515625" customWidth="1"/>
    <col min="16" max="16" width="17.5703125" customWidth="1"/>
    <col min="17" max="17" width="101.140625" customWidth="1"/>
    <col min="19" max="19" width="12.85546875" customWidth="1"/>
    <col min="20" max="20" width="80" customWidth="1"/>
    <col min="23" max="23" width="35.5703125" customWidth="1"/>
  </cols>
  <sheetData>
    <row r="1" spans="1:23" x14ac:dyDescent="0.25">
      <c r="A1" s="1" t="s">
        <v>53</v>
      </c>
      <c r="D1" s="1" t="s">
        <v>54</v>
      </c>
      <c r="G1" s="1" t="s">
        <v>29</v>
      </c>
      <c r="J1" s="1" t="s">
        <v>55</v>
      </c>
      <c r="M1" s="1" t="s">
        <v>117</v>
      </c>
      <c r="P1" s="1" t="s">
        <v>125</v>
      </c>
      <c r="S1" s="1" t="s">
        <v>143</v>
      </c>
      <c r="V1" s="1" t="s">
        <v>168</v>
      </c>
    </row>
    <row r="2" spans="1:23" x14ac:dyDescent="0.25">
      <c r="A2" s="6" t="s">
        <v>31</v>
      </c>
      <c r="B2" s="7" t="s">
        <v>64</v>
      </c>
      <c r="D2" s="6" t="s">
        <v>4</v>
      </c>
      <c r="E2" s="7" t="s">
        <v>80</v>
      </c>
      <c r="G2" s="6" t="s">
        <v>60</v>
      </c>
      <c r="H2" s="7" t="s">
        <v>61</v>
      </c>
      <c r="J2" s="6" t="s">
        <v>62</v>
      </c>
      <c r="K2" s="7" t="s">
        <v>63</v>
      </c>
      <c r="M2" s="6" t="s">
        <v>118</v>
      </c>
      <c r="N2" s="7" t="s">
        <v>121</v>
      </c>
      <c r="P2" s="6" t="s">
        <v>126</v>
      </c>
      <c r="Q2" s="7" t="s">
        <v>133</v>
      </c>
      <c r="S2" s="6" t="s">
        <v>144</v>
      </c>
      <c r="T2" s="7" t="s">
        <v>149</v>
      </c>
      <c r="V2" s="6" t="s">
        <v>169</v>
      </c>
      <c r="W2" s="7" t="s">
        <v>175</v>
      </c>
    </row>
    <row r="3" spans="1:23" x14ac:dyDescent="0.25">
      <c r="A3" s="6" t="s">
        <v>56</v>
      </c>
      <c r="B3" s="7" t="s">
        <v>57</v>
      </c>
      <c r="D3" s="6" t="s">
        <v>58</v>
      </c>
      <c r="E3" s="7" t="s">
        <v>59</v>
      </c>
      <c r="G3" s="6" t="s">
        <v>67</v>
      </c>
      <c r="H3" s="7" t="s">
        <v>68</v>
      </c>
      <c r="M3" s="6" t="s">
        <v>119</v>
      </c>
      <c r="N3" s="7" t="s">
        <v>122</v>
      </c>
      <c r="P3" s="6" t="s">
        <v>127</v>
      </c>
      <c r="Q3" s="7" t="s">
        <v>134</v>
      </c>
      <c r="S3" s="6" t="s">
        <v>145</v>
      </c>
      <c r="T3" s="7" t="s">
        <v>150</v>
      </c>
      <c r="V3" s="6" t="s">
        <v>170</v>
      </c>
      <c r="W3" s="7" t="s">
        <v>176</v>
      </c>
    </row>
    <row r="4" spans="1:23" x14ac:dyDescent="0.25">
      <c r="A4" s="6" t="s">
        <v>69</v>
      </c>
      <c r="B4" s="7" t="s">
        <v>70</v>
      </c>
      <c r="D4" s="6" t="s">
        <v>65</v>
      </c>
      <c r="E4" s="7" t="s">
        <v>66</v>
      </c>
      <c r="G4" s="6" t="s">
        <v>71</v>
      </c>
      <c r="H4" s="7" t="s">
        <v>72</v>
      </c>
      <c r="M4" s="6" t="s">
        <v>120</v>
      </c>
      <c r="N4" s="7" t="s">
        <v>123</v>
      </c>
      <c r="P4" s="6" t="s">
        <v>128</v>
      </c>
      <c r="Q4" s="7" t="s">
        <v>135</v>
      </c>
      <c r="S4" s="6" t="s">
        <v>146</v>
      </c>
      <c r="T4" s="7" t="s">
        <v>151</v>
      </c>
      <c r="V4" s="6" t="s">
        <v>171</v>
      </c>
      <c r="W4" s="7" t="s">
        <v>177</v>
      </c>
    </row>
    <row r="5" spans="1:23" x14ac:dyDescent="0.25">
      <c r="A5" s="6" t="s">
        <v>73</v>
      </c>
      <c r="B5" s="7" t="s">
        <v>74</v>
      </c>
      <c r="P5" s="6" t="s">
        <v>129</v>
      </c>
      <c r="Q5" s="7" t="s">
        <v>136</v>
      </c>
      <c r="S5" s="6" t="s">
        <v>147</v>
      </c>
      <c r="T5" s="7" t="s">
        <v>152</v>
      </c>
      <c r="V5" s="6" t="s">
        <v>172</v>
      </c>
      <c r="W5" s="7" t="s">
        <v>178</v>
      </c>
    </row>
    <row r="6" spans="1:23" x14ac:dyDescent="0.25">
      <c r="A6" s="6" t="s">
        <v>33</v>
      </c>
      <c r="B6" s="7" t="s">
        <v>75</v>
      </c>
      <c r="P6" s="6" t="s">
        <v>130</v>
      </c>
      <c r="Q6" s="7" t="s">
        <v>137</v>
      </c>
      <c r="S6" s="6" t="s">
        <v>148</v>
      </c>
      <c r="T6" s="7" t="s">
        <v>153</v>
      </c>
      <c r="V6" s="6" t="s">
        <v>173</v>
      </c>
      <c r="W6" s="7" t="s">
        <v>179</v>
      </c>
    </row>
    <row r="7" spans="1:23" x14ac:dyDescent="0.25">
      <c r="A7" s="6" t="s">
        <v>32</v>
      </c>
      <c r="B7" s="7" t="s">
        <v>76</v>
      </c>
      <c r="P7" s="6" t="s">
        <v>131</v>
      </c>
      <c r="Q7" s="7" t="s">
        <v>138</v>
      </c>
      <c r="S7" s="6" t="s">
        <v>108</v>
      </c>
      <c r="T7" s="7" t="s">
        <v>154</v>
      </c>
      <c r="V7" s="6" t="s">
        <v>174</v>
      </c>
      <c r="W7" s="7" t="s">
        <v>180</v>
      </c>
    </row>
    <row r="8" spans="1:23" x14ac:dyDescent="0.25">
      <c r="A8" s="6" t="s">
        <v>93</v>
      </c>
      <c r="B8" s="7" t="s">
        <v>95</v>
      </c>
      <c r="P8" s="6" t="s">
        <v>132</v>
      </c>
      <c r="Q8" s="7" t="s">
        <v>139</v>
      </c>
    </row>
    <row r="9" spans="1:23" x14ac:dyDescent="0.25">
      <c r="A9" s="6" t="s">
        <v>94</v>
      </c>
      <c r="B9" s="7" t="s">
        <v>96</v>
      </c>
    </row>
    <row r="10" spans="1:23" x14ac:dyDescent="0.25">
      <c r="A10" s="6" t="s">
        <v>77</v>
      </c>
      <c r="B10" s="7" t="s">
        <v>78</v>
      </c>
    </row>
    <row r="13" spans="1:23" x14ac:dyDescent="0.25">
      <c r="A13" s="2" t="s">
        <v>79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&amp;R&amp;"Arial Black"&amp;10&amp;K13A10E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EHS</vt:lpstr>
      <vt:lpstr>Guidance</vt:lpstr>
      <vt:lpstr>Reference</vt:lpstr>
      <vt:lpstr>EHS!Print_Titles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Jonty White</cp:lastModifiedBy>
  <cp:revision>0</cp:revision>
  <dcterms:created xsi:type="dcterms:W3CDTF">2026-07-10T13:37:33Z</dcterms:created>
  <dcterms:modified xsi:type="dcterms:W3CDTF">2026-07-16T13:49:04Z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cfb277-e402-4e8d-a57e-f9bc28430740_Enabled">
    <vt:lpwstr>true</vt:lpwstr>
  </property>
  <property fmtid="{D5CDD505-2E9C-101B-9397-08002B2CF9AE}" pid="3" name="MSIP_Label_62cfb277-e402-4e8d-a57e-f9bc28430740_SetDate">
    <vt:lpwstr>2026-07-10T15:27:05Z</vt:lpwstr>
  </property>
  <property fmtid="{D5CDD505-2E9C-101B-9397-08002B2CF9AE}" pid="4" name="MSIP_Label_62cfb277-e402-4e8d-a57e-f9bc28430740_Method">
    <vt:lpwstr>Privileged</vt:lpwstr>
  </property>
  <property fmtid="{D5CDD505-2E9C-101B-9397-08002B2CF9AE}" pid="5" name="MSIP_Label_62cfb277-e402-4e8d-a57e-f9bc28430740_Name">
    <vt:lpwstr>Public</vt:lpwstr>
  </property>
  <property fmtid="{D5CDD505-2E9C-101B-9397-08002B2CF9AE}" pid="6" name="MSIP_Label_62cfb277-e402-4e8d-a57e-f9bc28430740_SiteId">
    <vt:lpwstr>100b3c99-f3e2-4da0-9c8a-b9d345742c36</vt:lpwstr>
  </property>
  <property fmtid="{D5CDD505-2E9C-101B-9397-08002B2CF9AE}" pid="7" name="MSIP_Label_62cfb277-e402-4e8d-a57e-f9bc28430740_ActionId">
    <vt:lpwstr>6bf9f275-d131-43ce-b137-99c823811004</vt:lpwstr>
  </property>
  <property fmtid="{D5CDD505-2E9C-101B-9397-08002B2CF9AE}" pid="8" name="MSIP_Label_62cfb277-e402-4e8d-a57e-f9bc28430740_ContentBits">
    <vt:lpwstr>1</vt:lpwstr>
  </property>
  <property fmtid="{D5CDD505-2E9C-101B-9397-08002B2CF9AE}" pid="9" name="MSIP_Label_62cfb277-e402-4e8d-a57e-f9bc28430740_Tag">
    <vt:lpwstr>10, 0, 1, 1</vt:lpwstr>
  </property>
</Properties>
</file>